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jtapia/Desktop/Capstone Fase 2.1/"/>
    </mc:Choice>
  </mc:AlternateContent>
  <xr:revisionPtr revIDLastSave="0" documentId="13_ncr:1_{5548B04E-03DD-314A-9BD6-6D5FA919EA88}" xr6:coauthVersionLast="47" xr6:coauthVersionMax="47" xr10:uidLastSave="{00000000-0000-0000-0000-000000000000}"/>
  <bookViews>
    <workbookView xWindow="0" yWindow="500" windowWidth="23260" windowHeight="124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_xlnm.Print_Area" localSheetId="0">EVALUACION2!$B$2:$C$23</definedName>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D14" i="1"/>
  <c r="E14" i="1" s="1"/>
  <c r="F14" i="1"/>
  <c r="G14" i="1" s="1"/>
  <c r="H14" i="1"/>
  <c r="I14" i="1" s="1"/>
  <c r="J14" i="1"/>
  <c r="K14" i="1" s="1"/>
  <c r="B15" i="1"/>
  <c r="B16" i="1"/>
  <c r="B17" i="1"/>
  <c r="B18" i="1"/>
  <c r="B19" i="1"/>
  <c r="B20" i="1"/>
  <c r="B21" i="1"/>
  <c r="B14" i="1"/>
  <c r="D15" i="1" l="1"/>
  <c r="E15" i="1" s="1"/>
  <c r="D16" i="1"/>
  <c r="E16" i="1" s="1"/>
  <c r="D17" i="1"/>
  <c r="E17" i="1" s="1"/>
  <c r="D18" i="1"/>
  <c r="E18" i="1" s="1"/>
  <c r="D19" i="1"/>
  <c r="E19" i="1" s="1"/>
  <c r="D20" i="1"/>
  <c r="E20" i="1" s="1"/>
  <c r="F21" i="1"/>
  <c r="G21" i="1" s="1"/>
  <c r="F18" i="1" l="1"/>
  <c r="G18" i="1" s="1"/>
  <c r="H18" i="1"/>
  <c r="I18" i="1" s="1"/>
  <c r="J18" i="1"/>
  <c r="K18" i="1" s="1"/>
  <c r="J21" i="1"/>
  <c r="K21" i="1" s="1"/>
  <c r="H21" i="1"/>
  <c r="I21" i="1" s="1"/>
  <c r="D21" i="1"/>
  <c r="E21" i="1" s="1"/>
  <c r="J20" i="1"/>
  <c r="K20" i="1" s="1"/>
  <c r="H20" i="1"/>
  <c r="I20" i="1" s="1"/>
  <c r="F20" i="1"/>
  <c r="G20" i="1" s="1"/>
  <c r="J19" i="1"/>
  <c r="K19" i="1" s="1"/>
  <c r="H19" i="1"/>
  <c r="I19" i="1" s="1"/>
  <c r="F19" i="1"/>
  <c r="G19" i="1" s="1"/>
  <c r="J17" i="1"/>
  <c r="K17" i="1" s="1"/>
  <c r="H17" i="1"/>
  <c r="I17" i="1" s="1"/>
  <c r="F17" i="1"/>
  <c r="G17" i="1" s="1"/>
  <c r="J16" i="1"/>
  <c r="K16" i="1" s="1"/>
  <c r="H16" i="1"/>
  <c r="I16" i="1" s="1"/>
  <c r="F16" i="1"/>
  <c r="G16" i="1" s="1"/>
  <c r="J15" i="1"/>
  <c r="H15" i="1"/>
  <c r="I15" i="1" s="1"/>
  <c r="F15" i="1"/>
  <c r="G15" i="1" s="1"/>
  <c r="E22" i="1" l="1"/>
  <c r="G22" i="1"/>
  <c r="I22" i="1"/>
  <c r="K15" i="1"/>
  <c r="K22" i="1" l="1"/>
  <c r="C22" i="1" s="1"/>
  <c r="C23" i="1" s="1"/>
  <c r="C7" i="1" l="1"/>
  <c r="C5" i="1"/>
  <c r="C4" i="1"/>
</calcChain>
</file>

<file path=xl/sharedStrings.xml><?xml version="1.0" encoding="utf-8"?>
<sst xmlns="http://schemas.openxmlformats.org/spreadsheetml/2006/main" count="86" uniqueCount="68">
  <si>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</si>
  <si>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</si>
  <si>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</si>
  <si>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</si>
  <si>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</si>
  <si>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</si>
  <si>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</si>
  <si>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</si>
  <si>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</si>
  <si>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</si>
  <si>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</si>
  <si>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</si>
  <si>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</si>
  <si>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</si>
  <si>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</si>
  <si>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</si>
  <si>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</si>
  <si>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</si>
  <si>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</si>
  <si>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</si>
  <si>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</si>
  <si>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</si>
  <si>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</si>
  <si>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</si>
  <si>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</si>
  <si>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</si>
  <si>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</si>
  <si>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</si>
  <si>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</si>
  <si>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</si>
  <si>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</si>
  <si>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</si>
  <si>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</si>
  <si>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</si>
  <si>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</si>
  <si>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</si>
  <si>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</si>
  <si>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</si>
  <si>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</si>
  <si>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</si>
  <si>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</si>
  <si>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</si>
  <si>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</si>
  <si>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</si>
  <si>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</si>
  <si>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</si>
  <si>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</si>
  <si>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</si>
  <si>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</si>
  <si>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</si>
  <si>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</si>
  <si>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</si>
  <si>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</si>
  <si>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</si>
  <si>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</si>
  <si>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</si>
  <si>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</si>
  <si>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</si>
  <si>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</si>
  <si>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</si>
  <si>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</si>
  <si>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</si>
  <si>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</si>
  <si>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Grupo 4</t>
  </si>
  <si>
    <t>Jonathan Sarmiento</t>
  </si>
  <si>
    <t>Vanessa Jeldres</t>
  </si>
  <si>
    <t>Alexandra Ahumada</t>
  </si>
  <si>
    <t>Mauricio Olave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</si>
</sst>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6"/>
  <sheetViews>
    <sheetView tabSelected="1" zoomScaleNormal="100" workbookViewId="0">
      <selection activeCell="E6" sqref="E6"/>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B2" t="s">
        <v>63</v>
      </c>
      <c r="C2" s="2">
        <v>1</v>
      </c>
    </row>
    <row r="3" spans="1:11" ht="16" x14ac:dyDescent="0.2">
      <c r="B3" s="3" t="s">
        <v>2</v>
      </c>
      <c r="C3" s="33" t="s">
        <v>9</v>
      </c>
    </row>
    <row r="4" spans="1:11" x14ac:dyDescent="0.2">
      <c r="A4" s="4">
        <v>1</v>
      </c>
      <c r="B4" s="25" t="s">
        <v>64</v>
      </c>
      <c r="C4" s="5">
        <f>EVALUACION2!$C$23</f>
        <v>7</v>
      </c>
      <c r="G4" s="1"/>
    </row>
    <row r="5" spans="1:11" x14ac:dyDescent="0.2">
      <c r="A5" s="4">
        <v>2</v>
      </c>
      <c r="B5" s="25" t="s">
        <v>65</v>
      </c>
      <c r="C5" s="5">
        <f>EVALUACION2!$C$23</f>
        <v>7</v>
      </c>
      <c r="G5" s="1"/>
    </row>
    <row r="6" spans="1:11" x14ac:dyDescent="0.2">
      <c r="A6" s="4"/>
      <c r="B6" s="25" t="s">
        <v>66</v>
      </c>
      <c r="C6" s="5">
        <f>EVALUACION2!$C$23</f>
        <v>7</v>
      </c>
      <c r="G6" s="1"/>
    </row>
    <row r="7" spans="1:11" x14ac:dyDescent="0.2">
      <c r="A7" s="4">
        <v>3</v>
      </c>
      <c r="B7" s="25" t="s">
        <v>67</v>
      </c>
      <c r="C7" s="5">
        <f>EVALUACION2!$C$23</f>
        <v>7</v>
      </c>
      <c r="G7" s="1"/>
    </row>
    <row r="12" spans="1:11" ht="19" outlineLevel="1" x14ac:dyDescent="0.2">
      <c r="A12" s="40" t="s">
        <v>9</v>
      </c>
      <c r="B12" s="14"/>
      <c r="C12" s="44" t="s">
        <v>10</v>
      </c>
      <c r="D12" s="45" t="s">
        <v>11</v>
      </c>
      <c r="E12" s="47"/>
      <c r="F12" s="47"/>
      <c r="G12" s="47"/>
      <c r="H12" s="47"/>
      <c r="I12" s="47"/>
      <c r="J12" s="47"/>
      <c r="K12" s="46"/>
    </row>
    <row r="13" spans="1:11" outlineLevel="1" x14ac:dyDescent="0.2">
      <c r="A13" s="41"/>
      <c r="B13" s="20" t="s">
        <v>12</v>
      </c>
      <c r="C13" s="43"/>
      <c r="D13" s="45" t="s">
        <v>5</v>
      </c>
      <c r="E13" s="46"/>
      <c r="F13" s="45" t="s">
        <v>6</v>
      </c>
      <c r="G13" s="46"/>
      <c r="H13" s="48" t="s">
        <v>23</v>
      </c>
      <c r="I13" s="46"/>
      <c r="J13" s="45" t="s">
        <v>7</v>
      </c>
      <c r="K13" s="46"/>
    </row>
    <row r="14" spans="1:11" outlineLevel="1" x14ac:dyDescent="0.2">
      <c r="A14" s="42"/>
      <c r="B14" s="28" t="str">
        <f>RUBRICA!A4</f>
        <v xml:space="preserve">1. Propone ajustes al Proyecto APT considerando dificultades, facilitadores y retroalimentación. </v>
      </c>
      <c r="C14" s="26" t="s">
        <v>5</v>
      </c>
      <c r="D14" s="15" t="str">
        <f t="shared" ref="D14:D18" si="0">IF($C14=CL,"X","")</f>
        <v>X</v>
      </c>
      <c r="E14" s="15">
        <f>IF(D14="X",100*0.1,"")</f>
        <v>10</v>
      </c>
      <c r="F14" s="15" t="str">
        <f t="shared" ref="F14:F18" si="1">IF($C14=L,"X","")</f>
        <v/>
      </c>
      <c r="G14" s="15" t="str">
        <f>IF(F14="X",60*0.1,"")</f>
        <v/>
      </c>
      <c r="H14" s="15" t="str">
        <f t="shared" ref="H14:H18" si="2">IF($C14=ML,"X","")</f>
        <v/>
      </c>
      <c r="I14" s="15" t="str">
        <f>IF(H14="X",30*0.1,"")</f>
        <v/>
      </c>
      <c r="J14" s="15" t="str">
        <f t="shared" ref="J14:J18" si="3">IF($C14=NL,"X","")</f>
        <v/>
      </c>
      <c r="K14" s="15" t="str">
        <f t="shared" ref="K14:K18" si="4">IF($J14="X",0,"")</f>
        <v/>
      </c>
    </row>
    <row r="15" spans="1:11" ht="26.5" customHeight="1" outlineLevel="1" x14ac:dyDescent="0.2">
      <c r="A15" s="42"/>
      <c r="B15" s="28" t="str">
        <f>RUBRICA!A5</f>
        <v>2. Aplica una metodología que permite el logro de los objetivos propuestos, de acuerdo a los estándares de la disciplina.</v>
      </c>
      <c r="C15" s="26" t="s">
        <v>5</v>
      </c>
      <c r="D15" s="15" t="str">
        <f t="shared" si="0"/>
        <v>X</v>
      </c>
      <c r="E15" s="15">
        <f>IF(D15="X",100*0.1,"")</f>
        <v>10</v>
      </c>
      <c r="F15" s="15" t="str">
        <f t="shared" si="1"/>
        <v/>
      </c>
      <c r="G15" s="15" t="str">
        <f>IF(F15="X",60*0.1,"")</f>
        <v/>
      </c>
      <c r="H15" s="15" t="str">
        <f t="shared" si="2"/>
        <v/>
      </c>
      <c r="I15" s="15" t="str">
        <f>IF(H15="X",30*0.1,"")</f>
        <v/>
      </c>
      <c r="J15" s="15" t="str">
        <f t="shared" si="3"/>
        <v/>
      </c>
      <c r="K15" s="15" t="str">
        <f t="shared" si="4"/>
        <v/>
      </c>
    </row>
    <row r="16" spans="1:11" ht="39" outlineLevel="1" x14ac:dyDescent="0.2">
      <c r="A16" s="42"/>
      <c r="B16" s="28" t="str">
        <f>RUBRICA!A6</f>
        <v>3. Genera evidencias que dan cuenta del avance del Proyecto APT en relación a documentación, programación y almacenamiento de datos , de acuerdo a lo planificado por el equipo y que cumpla con estándares de desarrollo de la industria</v>
      </c>
      <c r="C16" s="26" t="s">
        <v>5</v>
      </c>
      <c r="D16" s="15" t="str">
        <f t="shared" si="0"/>
        <v>X</v>
      </c>
      <c r="E16" s="15">
        <f>IF(D16="X",100*0.25,"")</f>
        <v>25</v>
      </c>
      <c r="F16" s="15" t="str">
        <f t="shared" si="1"/>
        <v/>
      </c>
      <c r="G16" s="15" t="str">
        <f>IF(F16="X",60*0.25,"")</f>
        <v/>
      </c>
      <c r="H16" s="15" t="str">
        <f t="shared" si="2"/>
        <v/>
      </c>
      <c r="I16" s="15" t="str">
        <f>IF(H16="X",30*0.25,"")</f>
        <v/>
      </c>
      <c r="J16" s="15" t="str">
        <f t="shared" si="3"/>
        <v/>
      </c>
      <c r="K16" s="15" t="str">
        <f t="shared" si="4"/>
        <v/>
      </c>
    </row>
    <row r="17" spans="1:11" ht="26" outlineLevel="1" x14ac:dyDescent="0.2">
      <c r="A17" s="42"/>
      <c r="B17" s="28" t="str">
        <f>RUBRICA!A7</f>
        <v>4. Utiliza de manera precisa el lenguaje técnico en los entregables de acuerdo con lo requerido por la disciplina.</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outlineLevel="1" x14ac:dyDescent="0.2">
      <c r="A18" s="42"/>
      <c r="B18" s="28" t="str">
        <f>RUBRICA!A8</f>
        <v xml:space="preserve">5. Utiliza reglas de redacción, ortografía (literal, puntual, acentual) y las normas para citas y referencias. </v>
      </c>
      <c r="C18" s="26" t="s">
        <v>5</v>
      </c>
      <c r="D18" s="15" t="str">
        <f t="shared" si="0"/>
        <v>X</v>
      </c>
      <c r="E18" s="15">
        <f>IF(D18="X",100*0.05,"")</f>
        <v>5</v>
      </c>
      <c r="F18" s="15" t="str">
        <f t="shared" si="1"/>
        <v/>
      </c>
      <c r="G18" s="15" t="str">
        <f>IF(F18="X",60*0.05,"")</f>
        <v/>
      </c>
      <c r="H18" s="15" t="str">
        <f t="shared" si="2"/>
        <v/>
      </c>
      <c r="I18" s="15" t="str">
        <f>IF(H18="X",30*0.05,"")</f>
        <v/>
      </c>
      <c r="J18" s="15" t="str">
        <f t="shared" si="3"/>
        <v/>
      </c>
      <c r="K18" s="15" t="str">
        <f t="shared" si="4"/>
        <v/>
      </c>
    </row>
    <row r="19" spans="1:11" ht="26" outlineLevel="1" x14ac:dyDescent="0.2">
      <c r="A19" s="42"/>
      <c r="B19" s="28" t="str">
        <f>RUBRICA!A9</f>
        <v>6. Entrega la documentación y evidencias requerida por la asignatura de acuerdo a la estrucutra y nombres solicitados, guardando todas las evidencias de avances en Git</v>
      </c>
      <c r="C19" s="26" t="s">
        <v>5</v>
      </c>
      <c r="D19" s="15" t="str">
        <f>IF($C19=CL,"X","")</f>
        <v>X</v>
      </c>
      <c r="E19" s="15">
        <f>IF(D19="X",100*0.2,"")</f>
        <v>20</v>
      </c>
      <c r="F19" s="15" t="str">
        <f>IF($C19=L,"X","")</f>
        <v/>
      </c>
      <c r="G19" s="15" t="str">
        <f>IF(F19="X",60*0.2,"")</f>
        <v/>
      </c>
      <c r="H19" s="15" t="str">
        <f>IF($C19=ML,"X","")</f>
        <v/>
      </c>
      <c r="I19" s="15" t="str">
        <f>IF(H19="X",30*0.2,"")</f>
        <v/>
      </c>
      <c r="J19" s="15" t="str">
        <f>IF($C19=NL,"X","")</f>
        <v/>
      </c>
      <c r="K19" s="15" t="str">
        <f t="shared" ref="K19:K21" si="5">IF($J19="X",0,"")</f>
        <v/>
      </c>
    </row>
    <row r="20" spans="1:11" ht="26" outlineLevel="1" x14ac:dyDescent="0.2">
      <c r="A20" s="42"/>
      <c r="B20" s="28" t="str">
        <f>RUBRICA!A10</f>
        <v>7.- Generan evidencias claras dentro del repositorio  del aporte de cada uno de los integrantes del equipo que permitan identificar la equidad en el trabajo y la participación de cada estudiante.</v>
      </c>
      <c r="C20" s="26" t="s">
        <v>5</v>
      </c>
      <c r="D20" s="15" t="str">
        <f>IF($C20=CL,"X","")</f>
        <v>X</v>
      </c>
      <c r="E20" s="15">
        <f>IF(D20="X",100*0.15,"")</f>
        <v>15</v>
      </c>
      <c r="F20" s="15" t="str">
        <f>IF($C20=L,"X","")</f>
        <v/>
      </c>
      <c r="G20" s="15" t="str">
        <f>IF(F20="X",60*0.15,"")</f>
        <v/>
      </c>
      <c r="H20" s="15" t="str">
        <f>IF($C20=ML,"X","")</f>
        <v/>
      </c>
      <c r="I20" s="15" t="str">
        <f>IF(H20="X",30*0.15,"")</f>
        <v/>
      </c>
      <c r="J20" s="15" t="str">
        <f>IF($C20=NL,"X","")</f>
        <v/>
      </c>
      <c r="K20" s="15" t="str">
        <f t="shared" si="5"/>
        <v/>
      </c>
    </row>
    <row r="21" spans="1:11" ht="26" outlineLevel="1" x14ac:dyDescent="0.2">
      <c r="A21" s="42"/>
      <c r="B21" s="28" t="str">
        <f>RUBRICA!A11</f>
        <v>8. Demuestra un trabajo en equipo en donde todos los miembros del equipo expresan con fluidez el conocimiento del tema expuesto y  participan de las actividades planificadas en el proyecto</v>
      </c>
      <c r="C21" s="26" t="s">
        <v>5</v>
      </c>
      <c r="D21" s="15" t="str">
        <f>IF($C21=CL,"X","")</f>
        <v>X</v>
      </c>
      <c r="E21" s="15">
        <f>IF(D21="X",100*0.1,"")</f>
        <v>10</v>
      </c>
      <c r="F21" s="15" t="str">
        <f>IF($C21=L,"X","")</f>
        <v/>
      </c>
      <c r="G21" s="15" t="str">
        <f>IF(F21="X",60*0.1,"")</f>
        <v/>
      </c>
      <c r="H21" s="15" t="str">
        <f>IF($C21=ML,"X","")</f>
        <v/>
      </c>
      <c r="I21" s="15" t="str">
        <f>IF(H21="X",30*0.1,"")</f>
        <v/>
      </c>
      <c r="J21" s="15" t="str">
        <f>IF($C21=NL,"X","")</f>
        <v/>
      </c>
      <c r="K21" s="15" t="str">
        <f t="shared" si="5"/>
        <v/>
      </c>
    </row>
    <row r="22" spans="1:11" ht="15.75" customHeight="1" outlineLevel="1" x14ac:dyDescent="0.25">
      <c r="A22" s="41"/>
      <c r="B22" s="27" t="s">
        <v>4</v>
      </c>
      <c r="C22" s="31">
        <f>E22+G22+I22+K22</f>
        <v>100</v>
      </c>
      <c r="D22" s="16"/>
      <c r="E22" s="16">
        <f>SUM(E14:E21)</f>
        <v>100</v>
      </c>
      <c r="F22" s="16"/>
      <c r="G22" s="16">
        <f>SUM(G14:G21)</f>
        <v>0</v>
      </c>
      <c r="H22" s="16"/>
      <c r="I22" s="16">
        <f>SUM(I14:I21)</f>
        <v>0</v>
      </c>
      <c r="J22" s="16"/>
      <c r="K22" s="16">
        <f>SUM(K14:K21)</f>
        <v>0</v>
      </c>
    </row>
    <row r="23" spans="1:11" ht="15.75" customHeight="1" outlineLevel="1" x14ac:dyDescent="0.25">
      <c r="A23" s="43"/>
      <c r="B23" s="30" t="s">
        <v>13</v>
      </c>
      <c r="C23" s="17">
        <f>VLOOKUP(C22,ESCALA_IEP!A2:B202,2,FALSE)</f>
        <v>7</v>
      </c>
    </row>
    <row r="24" spans="1:11" ht="15.75" customHeight="1" x14ac:dyDescent="0.2">
      <c r="D24" t="s">
        <v>41</v>
      </c>
    </row>
    <row r="25" spans="1:11" ht="48" customHeight="1" x14ac:dyDescent="0.2">
      <c r="B25" s="34"/>
    </row>
    <row r="26" spans="1:11" ht="15.75" customHeight="1" x14ac:dyDescent="0.25">
      <c r="B26" s="18"/>
      <c r="C26" s="19"/>
    </row>
    <row r="27" spans="1:11" ht="31.25" customHeight="1" x14ac:dyDescent="0.2">
      <c r="B27" s="35"/>
    </row>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sheetData>
  <mergeCells count="7">
    <mergeCell ref="A12:A23"/>
    <mergeCell ref="C12:C13"/>
    <mergeCell ref="D13:E13"/>
    <mergeCell ref="D12:K12"/>
    <mergeCell ref="F13:G13"/>
    <mergeCell ref="H13:I13"/>
    <mergeCell ref="J13:K13"/>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landscape" copies="8"/>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9" t="s">
        <v>14</v>
      </c>
      <c r="B1" s="51" t="s">
        <v>15</v>
      </c>
      <c r="C1" s="52"/>
      <c r="D1" s="52"/>
      <c r="E1" s="53"/>
      <c r="F1" s="49" t="s">
        <v>16</v>
      </c>
    </row>
    <row r="2" spans="1:6" ht="16" x14ac:dyDescent="0.2">
      <c r="A2" s="50"/>
      <c r="B2" s="55" t="s">
        <v>25</v>
      </c>
      <c r="C2" s="55" t="s">
        <v>17</v>
      </c>
      <c r="D2" s="21" t="s">
        <v>18</v>
      </c>
      <c r="E2" s="22" t="s">
        <v>7</v>
      </c>
      <c r="F2" s="50"/>
    </row>
    <row r="3" spans="1:6" ht="16" thickBot="1" x14ac:dyDescent="0.25">
      <c r="A3" s="50"/>
      <c r="B3" s="56"/>
      <c r="C3" s="56"/>
      <c r="D3" s="37">
        <v>-0.3</v>
      </c>
      <c r="E3" s="37">
        <v>0</v>
      </c>
      <c r="F3" s="54"/>
    </row>
    <row r="4" spans="1:6" ht="46" thickBot="1" x14ac:dyDescent="0.25">
      <c r="A4" s="24" t="s">
        <v>26</v>
      </c>
      <c r="B4" s="24" t="s">
        <v>27</v>
      </c>
      <c r="C4" s="24" t="s">
        <v>28</v>
      </c>
      <c r="D4" s="24" t="s">
        <v>29</v>
      </c>
      <c r="E4" s="24" t="s">
        <v>30</v>
      </c>
      <c r="F4" s="23">
        <v>10</v>
      </c>
    </row>
    <row r="5" spans="1:6" ht="61" thickBot="1" x14ac:dyDescent="0.25">
      <c r="A5" s="24" t="s">
        <v>31</v>
      </c>
      <c r="B5" s="24" t="s">
        <v>42</v>
      </c>
      <c r="C5" s="24" t="s">
        <v>32</v>
      </c>
      <c r="D5" s="24" t="s">
        <v>33</v>
      </c>
      <c r="E5" s="24" t="s">
        <v>34</v>
      </c>
      <c r="F5" s="23">
        <v>10</v>
      </c>
    </row>
    <row r="6" spans="1:6" ht="91" thickBot="1" x14ac:dyDescent="0.25">
      <c r="A6" s="24" t="s">
        <v>43</v>
      </c>
      <c r="B6" s="24" t="s">
        <v>44</v>
      </c>
      <c r="C6" s="24" t="s">
        <v>45</v>
      </c>
      <c r="D6" s="24" t="s">
        <v>46</v>
      </c>
      <c r="E6" s="24" t="s">
        <v>47</v>
      </c>
      <c r="F6" s="23">
        <v>25</v>
      </c>
    </row>
    <row r="7" spans="1:6" ht="46" thickBot="1" x14ac:dyDescent="0.25">
      <c r="A7" s="24" t="s">
        <v>48</v>
      </c>
      <c r="B7" s="24" t="s">
        <v>49</v>
      </c>
      <c r="C7" s="24" t="s">
        <v>50</v>
      </c>
      <c r="D7" s="24" t="s">
        <v>51</v>
      </c>
      <c r="E7" s="24" t="s">
        <v>52</v>
      </c>
      <c r="F7" s="23">
        <v>5</v>
      </c>
    </row>
    <row r="8" spans="1:6" ht="45" x14ac:dyDescent="0.2">
      <c r="A8" s="24" t="s">
        <v>35</v>
      </c>
      <c r="B8" s="24" t="s">
        <v>22</v>
      </c>
      <c r="C8" s="24" t="s">
        <v>19</v>
      </c>
      <c r="D8" s="24" t="s">
        <v>20</v>
      </c>
      <c r="E8" s="24" t="s">
        <v>21</v>
      </c>
      <c r="F8" s="38">
        <v>5</v>
      </c>
    </row>
    <row r="9" spans="1:6" ht="61" thickBot="1" x14ac:dyDescent="0.25">
      <c r="A9" s="24" t="s">
        <v>53</v>
      </c>
      <c r="B9" s="24" t="s">
        <v>54</v>
      </c>
      <c r="C9" s="24" t="s">
        <v>55</v>
      </c>
      <c r="D9" s="24" t="s">
        <v>56</v>
      </c>
      <c r="E9" s="24" t="s">
        <v>57</v>
      </c>
      <c r="F9" s="23">
        <v>20</v>
      </c>
    </row>
    <row r="10" spans="1:6" ht="61" thickBot="1" x14ac:dyDescent="0.25">
      <c r="A10" s="39" t="s">
        <v>58</v>
      </c>
      <c r="B10" s="39" t="s">
        <v>59</v>
      </c>
      <c r="C10" s="39" t="s">
        <v>60</v>
      </c>
      <c r="D10" s="39" t="s">
        <v>61</v>
      </c>
      <c r="E10" s="39" t="s">
        <v>62</v>
      </c>
      <c r="F10" s="32">
        <v>15</v>
      </c>
    </row>
    <row r="11" spans="1:6" ht="81.5" customHeight="1" x14ac:dyDescent="0.2">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7" t="s">
        <v>3</v>
      </c>
      <c r="B1" s="6" t="s">
        <v>4</v>
      </c>
      <c r="C1" s="7"/>
      <c r="D1" s="7"/>
      <c r="E1" s="8"/>
    </row>
    <row r="2" spans="1:5" ht="49" thickBot="1" x14ac:dyDescent="0.25">
      <c r="A2" s="58"/>
      <c r="B2" s="9" t="s">
        <v>5</v>
      </c>
      <c r="C2" s="10" t="s">
        <v>6</v>
      </c>
      <c r="D2" s="29"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20</vt:i4>
      </vt:variant>
    </vt:vector>
  </HeadingPairs>
  <TitlesOfParts>
    <vt:vector size="26" baseType="lpstr">
      <vt:lpstr>EVALUACION2</vt:lpstr>
      <vt:lpstr>RUBRICA</vt:lpstr>
      <vt:lpstr>ESCALA_IEP</vt:lpstr>
      <vt:lpstr>ESCALA_PRESENTACION</vt:lpstr>
      <vt:lpstr>ESCALA_TRAB_EQUIP</vt:lpstr>
      <vt:lpstr>RELEVANCIA-PUNTAJE</vt:lpstr>
      <vt:lpstr>EVALUACION2!Área_de_impresión</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Juliomanuel Tapia Acevedo</cp:lastModifiedBy>
  <cp:lastPrinted>2024-10-21T11:16:27Z</cp:lastPrinted>
  <dcterms:created xsi:type="dcterms:W3CDTF">2023-08-07T04:08:01Z</dcterms:created>
  <dcterms:modified xsi:type="dcterms:W3CDTF">2024-11-09T04:24:04Z</dcterms:modified>
</cp:coreProperties>
</file>