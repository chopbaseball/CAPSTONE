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pdAe/Q3uaAE9+SX3ppwEB+inG/7twguSTxavh/N2q30="/>
    </ext>
  </extLst>
</workbook>
</file>

<file path=xl/sharedStrings.xml><?xml version="1.0" encoding="utf-8"?>
<sst xmlns="http://schemas.openxmlformats.org/spreadsheetml/2006/main" count="21" uniqueCount="21">
  <si>
    <t>burndown_chart_Sprint_1_12_dias</t>
  </si>
  <si>
    <t>Modifique la zona con color verde</t>
  </si>
  <si>
    <t>burndown_chart_Sprint_12_dias</t>
  </si>
  <si>
    <t>horas estimadas</t>
  </si>
  <si>
    <t>DIA</t>
  </si>
  <si>
    <t>Total</t>
  </si>
  <si>
    <t>E1-H1</t>
  </si>
  <si>
    <t>E1-H3</t>
  </si>
  <si>
    <t>E1-H6</t>
  </si>
  <si>
    <t>E1-H8</t>
  </si>
  <si>
    <t>E4-H22</t>
  </si>
  <si>
    <t>E4-H24</t>
  </si>
  <si>
    <t>E4-H25</t>
  </si>
  <si>
    <t>E4-H28</t>
  </si>
  <si>
    <t>E4-H37</t>
  </si>
  <si>
    <t>E4-H38</t>
  </si>
  <si>
    <t>E6-H48</t>
  </si>
  <si>
    <t>E6-H49</t>
  </si>
  <si>
    <t>E6-H52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</si>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</sst>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 vertical="bottom"/>
    </xf>
    <xf borderId="9" fillId="3" fontId="2" numFmtId="0" xfId="0" applyAlignment="1" applyBorder="1" applyFont="1">
      <alignment horizontal="center" readingOrder="0" shrinkToFit="0" vertical="bottom" wrapText="1"/>
    </xf>
    <xf borderId="8" fillId="3" fontId="2" numFmtId="0" xfId="0" applyAlignment="1" applyBorder="1" applyFont="1">
      <alignment horizontal="right" readingOrder="0" vertical="bottom"/>
    </xf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Ejemplo1!$D$19:$O$19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Ejemplo1!$D$21:$O$21</c:f>
              <c:numCache/>
            </c:numRef>
          </c:val>
          <c:smooth val="0"/>
        </c:ser>
        <c:axId val="2018639536"/>
        <c:axId val="1269763665"/>
      </c:lineChart>
      <c:catAx>
        <c:axId val="201863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9763665"/>
      </c:catAx>
      <c:valAx>
        <c:axId val="1269763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86395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9"/>
    </row>
    <row r="5" ht="14.25" customHeight="1">
      <c r="A5" s="10" t="s">
        <v>6</v>
      </c>
      <c r="B5" s="11">
        <v>34.0</v>
      </c>
      <c r="C5" s="12">
        <v>12.0</v>
      </c>
      <c r="D5" s="12">
        <v>12.0</v>
      </c>
      <c r="E5" s="12">
        <v>3.0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3.0</v>
      </c>
      <c r="O5" s="13">
        <f t="shared" ref="O5:O17" si="1">SUM(C5:N5)</f>
        <v>30</v>
      </c>
    </row>
    <row r="6" ht="14.25" customHeight="1">
      <c r="A6" s="10" t="s">
        <v>7</v>
      </c>
      <c r="B6" s="11">
        <v>25.0</v>
      </c>
      <c r="C6" s="12">
        <v>0.0</v>
      </c>
      <c r="D6" s="12">
        <v>0.0</v>
      </c>
      <c r="E6" s="12">
        <v>9.0</v>
      </c>
      <c r="F6" s="12">
        <v>13.0</v>
      </c>
      <c r="G6" s="12">
        <v>2.0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4">
        <f t="shared" si="1"/>
        <v>24</v>
      </c>
    </row>
    <row r="7" ht="14.25" customHeight="1">
      <c r="A7" s="10" t="s">
        <v>8</v>
      </c>
      <c r="B7" s="11">
        <v>32.0</v>
      </c>
      <c r="C7" s="12">
        <v>6.0</v>
      </c>
      <c r="D7" s="12">
        <v>0.0</v>
      </c>
      <c r="E7" s="12">
        <v>2.0</v>
      </c>
      <c r="F7" s="12">
        <v>0.0</v>
      </c>
      <c r="G7" s="12">
        <v>11.0</v>
      </c>
      <c r="H7" s="12">
        <v>6.0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4">
        <f t="shared" si="1"/>
        <v>25</v>
      </c>
    </row>
    <row r="8" ht="14.25" customHeight="1">
      <c r="A8" s="10" t="s">
        <v>9</v>
      </c>
      <c r="B8" s="11">
        <v>26.0</v>
      </c>
      <c r="C8" s="12">
        <v>0.0</v>
      </c>
      <c r="D8" s="12">
        <v>4.0</v>
      </c>
      <c r="E8" s="12">
        <v>2.0</v>
      </c>
      <c r="F8" s="12">
        <v>0.0</v>
      </c>
      <c r="G8" s="12">
        <v>0.0</v>
      </c>
      <c r="H8" s="12">
        <v>5.0</v>
      </c>
      <c r="I8" s="12">
        <v>4.0</v>
      </c>
      <c r="J8" s="12">
        <v>2.0</v>
      </c>
      <c r="K8" s="12">
        <v>6.0</v>
      </c>
      <c r="L8" s="12">
        <v>0.0</v>
      </c>
      <c r="M8" s="12">
        <v>5.0</v>
      </c>
      <c r="N8" s="12">
        <v>0.0</v>
      </c>
      <c r="O8" s="14">
        <f t="shared" si="1"/>
        <v>28</v>
      </c>
    </row>
    <row r="9" ht="14.25" customHeight="1">
      <c r="A9" s="10" t="s">
        <v>10</v>
      </c>
      <c r="B9" s="11">
        <v>31.0</v>
      </c>
      <c r="C9" s="12">
        <v>11.0</v>
      </c>
      <c r="D9" s="12">
        <v>6.0</v>
      </c>
      <c r="E9" s="12">
        <v>9.0</v>
      </c>
      <c r="F9" s="12">
        <v>4.0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4">
        <f t="shared" si="1"/>
        <v>30</v>
      </c>
    </row>
    <row r="10" ht="14.25" customHeight="1">
      <c r="A10" s="10" t="s">
        <v>11</v>
      </c>
      <c r="B10" s="11">
        <v>30.0</v>
      </c>
      <c r="C10" s="12">
        <v>0.0</v>
      </c>
      <c r="D10" s="12">
        <v>0.0</v>
      </c>
      <c r="E10" s="12">
        <v>3.0</v>
      </c>
      <c r="F10" s="12">
        <v>11.0</v>
      </c>
      <c r="G10" s="12">
        <v>4.0</v>
      </c>
      <c r="H10" s="12">
        <v>5.0</v>
      </c>
      <c r="I10" s="12">
        <v>4.0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4">
        <f t="shared" si="1"/>
        <v>27</v>
      </c>
    </row>
    <row r="11" ht="14.25" customHeight="1">
      <c r="A11" s="10" t="s">
        <v>12</v>
      </c>
      <c r="B11" s="11">
        <v>38.0</v>
      </c>
      <c r="C11" s="12">
        <v>0.0</v>
      </c>
      <c r="D11" s="12">
        <v>0.0</v>
      </c>
      <c r="E11" s="12">
        <v>0.0</v>
      </c>
      <c r="F11" s="12">
        <v>0.0</v>
      </c>
      <c r="G11" s="12">
        <v>3.0</v>
      </c>
      <c r="H11" s="12">
        <v>10.0</v>
      </c>
      <c r="I11" s="12">
        <v>3.0</v>
      </c>
      <c r="J11" s="12">
        <v>8.0</v>
      </c>
      <c r="K11" s="12">
        <v>5.0</v>
      </c>
      <c r="L11" s="12">
        <v>0.0</v>
      </c>
      <c r="M11" s="12">
        <v>0.0</v>
      </c>
      <c r="N11" s="12">
        <v>0.0</v>
      </c>
      <c r="O11" s="14">
        <f t="shared" si="1"/>
        <v>29</v>
      </c>
    </row>
    <row r="12" ht="14.25" customHeight="1">
      <c r="A12" s="10" t="s">
        <v>13</v>
      </c>
      <c r="B12" s="11">
        <v>26.0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6.0</v>
      </c>
      <c r="J12" s="12">
        <v>2.0</v>
      </c>
      <c r="K12" s="12">
        <v>7.0</v>
      </c>
      <c r="L12" s="12">
        <v>7.0</v>
      </c>
      <c r="M12" s="12">
        <v>0.0</v>
      </c>
      <c r="N12" s="12">
        <v>0.0</v>
      </c>
      <c r="O12" s="14">
        <f t="shared" si="1"/>
        <v>22</v>
      </c>
    </row>
    <row r="13" ht="14.25" customHeight="1">
      <c r="A13" s="10" t="s">
        <v>14</v>
      </c>
      <c r="B13" s="11">
        <v>29.0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4.0</v>
      </c>
      <c r="M13" s="12">
        <v>12.0</v>
      </c>
      <c r="N13" s="12">
        <v>3.0</v>
      </c>
      <c r="O13" s="14">
        <f t="shared" si="1"/>
        <v>19</v>
      </c>
    </row>
    <row r="14" ht="14.25" customHeight="1">
      <c r="A14" s="10" t="s">
        <v>15</v>
      </c>
      <c r="B14" s="11">
        <v>30.0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4.0</v>
      </c>
      <c r="N14" s="12">
        <v>11.0</v>
      </c>
      <c r="O14" s="14">
        <f t="shared" si="1"/>
        <v>15</v>
      </c>
    </row>
    <row r="15" ht="14.25" customHeight="1">
      <c r="A15" s="10" t="s">
        <v>16</v>
      </c>
      <c r="B15" s="11">
        <v>29.0</v>
      </c>
      <c r="C15" s="12">
        <v>0.0</v>
      </c>
      <c r="D15" s="12">
        <v>0.0</v>
      </c>
      <c r="E15" s="12">
        <v>0.0</v>
      </c>
      <c r="F15" s="12">
        <v>6.0</v>
      </c>
      <c r="G15" s="12">
        <v>10.0</v>
      </c>
      <c r="H15" s="12">
        <v>5.0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2.0</v>
      </c>
      <c r="O15" s="14">
        <f t="shared" si="1"/>
        <v>23</v>
      </c>
    </row>
    <row r="16" ht="14.25" customHeight="1">
      <c r="A16" s="10" t="s">
        <v>17</v>
      </c>
      <c r="B16" s="11">
        <v>30.0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9.0</v>
      </c>
      <c r="J16" s="12">
        <v>7.0</v>
      </c>
      <c r="K16" s="12">
        <v>0.0</v>
      </c>
      <c r="L16" s="12">
        <v>0.0</v>
      </c>
      <c r="M16" s="12">
        <v>0.0</v>
      </c>
      <c r="N16" s="12">
        <v>0.0</v>
      </c>
      <c r="O16" s="14">
        <f t="shared" si="1"/>
        <v>16</v>
      </c>
    </row>
    <row r="17" ht="14.25" customHeight="1">
      <c r="A17" s="10" t="s">
        <v>18</v>
      </c>
      <c r="B17" s="11">
        <v>26.0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6.0</v>
      </c>
      <c r="L17" s="12">
        <v>11.0</v>
      </c>
      <c r="M17" s="12">
        <v>5.0</v>
      </c>
      <c r="N17" s="12">
        <v>5.0</v>
      </c>
      <c r="O17" s="14">
        <f t="shared" si="1"/>
        <v>27</v>
      </c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4.25" customHeight="1">
      <c r="A19" s="2"/>
      <c r="B19" s="15">
        <f>SUM(B5:B17)</f>
        <v>386</v>
      </c>
      <c r="C19" s="15">
        <f>B19</f>
        <v>386</v>
      </c>
      <c r="D19" s="15">
        <f t="shared" ref="D19:O19" si="2">C19-SUM(C5:C17)</f>
        <v>357</v>
      </c>
      <c r="E19" s="15">
        <f t="shared" si="2"/>
        <v>335</v>
      </c>
      <c r="F19" s="15">
        <f t="shared" si="2"/>
        <v>307</v>
      </c>
      <c r="G19" s="15">
        <f t="shared" si="2"/>
        <v>273</v>
      </c>
      <c r="H19" s="15">
        <f t="shared" si="2"/>
        <v>243</v>
      </c>
      <c r="I19" s="15">
        <f t="shared" si="2"/>
        <v>212</v>
      </c>
      <c r="J19" s="15">
        <f t="shared" si="2"/>
        <v>186</v>
      </c>
      <c r="K19" s="15">
        <f t="shared" si="2"/>
        <v>167</v>
      </c>
      <c r="L19" s="15">
        <f t="shared" si="2"/>
        <v>143</v>
      </c>
      <c r="M19" s="15">
        <f t="shared" si="2"/>
        <v>121</v>
      </c>
      <c r="N19" s="15">
        <f t="shared" si="2"/>
        <v>95</v>
      </c>
      <c r="O19" s="15">
        <f t="shared" si="2"/>
        <v>71</v>
      </c>
    </row>
    <row r="20" ht="14.25" customHeight="1">
      <c r="A20" s="16" t="s">
        <v>19</v>
      </c>
      <c r="B20" s="2">
        <f t="shared" ref="B20:N20" si="3">C19</f>
        <v>386</v>
      </c>
      <c r="C20" s="2">
        <f t="shared" si="3"/>
        <v>357</v>
      </c>
      <c r="D20" s="2">
        <f t="shared" si="3"/>
        <v>335</v>
      </c>
      <c r="E20" s="2">
        <f t="shared" si="3"/>
        <v>307</v>
      </c>
      <c r="F20" s="2">
        <f t="shared" si="3"/>
        <v>273</v>
      </c>
      <c r="G20" s="2">
        <f t="shared" si="3"/>
        <v>243</v>
      </c>
      <c r="H20" s="2">
        <f t="shared" si="3"/>
        <v>212</v>
      </c>
      <c r="I20" s="2">
        <f t="shared" si="3"/>
        <v>186</v>
      </c>
      <c r="J20" s="2">
        <f t="shared" si="3"/>
        <v>167</v>
      </c>
      <c r="K20" s="2">
        <f t="shared" si="3"/>
        <v>143</v>
      </c>
      <c r="L20" s="2">
        <f t="shared" si="3"/>
        <v>121</v>
      </c>
      <c r="M20" s="2">
        <f t="shared" si="3"/>
        <v>95</v>
      </c>
      <c r="N20" s="2">
        <f t="shared" si="3"/>
        <v>71</v>
      </c>
      <c r="O20" s="2"/>
    </row>
    <row r="21" ht="14.25" customHeight="1">
      <c r="A21" s="2"/>
      <c r="B21" s="15">
        <f>SUM(B5:B17)</f>
        <v>386</v>
      </c>
      <c r="C21" s="15">
        <f>SUM(B5:B17)</f>
        <v>386</v>
      </c>
      <c r="D21" s="15">
        <f t="shared" ref="D21:O21" si="4">C21-(SUM($B$5:$B$17)/12)</f>
        <v>353.8333333</v>
      </c>
      <c r="E21" s="15">
        <f t="shared" si="4"/>
        <v>321.6666667</v>
      </c>
      <c r="F21" s="15">
        <f t="shared" si="4"/>
        <v>289.5</v>
      </c>
      <c r="G21" s="15">
        <f t="shared" si="4"/>
        <v>257.3333333</v>
      </c>
      <c r="H21" s="15">
        <f t="shared" si="4"/>
        <v>225.1666667</v>
      </c>
      <c r="I21" s="15">
        <f t="shared" si="4"/>
        <v>193</v>
      </c>
      <c r="J21" s="15">
        <f t="shared" si="4"/>
        <v>160.8333333</v>
      </c>
      <c r="K21" s="15">
        <f t="shared" si="4"/>
        <v>128.6666667</v>
      </c>
      <c r="L21" s="15">
        <f t="shared" si="4"/>
        <v>96.5</v>
      </c>
      <c r="M21" s="15">
        <f t="shared" si="4"/>
        <v>64.33333333</v>
      </c>
      <c r="N21" s="15">
        <f t="shared" si="4"/>
        <v>32.16666667</v>
      </c>
      <c r="O21" s="15">
        <f t="shared" si="4"/>
        <v>0</v>
      </c>
    </row>
    <row r="22" ht="14.25" customHeight="1">
      <c r="A22" s="16" t="s">
        <v>20</v>
      </c>
      <c r="B22" s="2">
        <f>B21</f>
        <v>386</v>
      </c>
      <c r="C22" s="2">
        <f t="shared" ref="C22:N22" si="5">D21</f>
        <v>353.8333333</v>
      </c>
      <c r="D22" s="2">
        <f t="shared" si="5"/>
        <v>321.6666667</v>
      </c>
      <c r="E22" s="2">
        <f t="shared" si="5"/>
        <v>289.5</v>
      </c>
      <c r="F22" s="2">
        <f t="shared" si="5"/>
        <v>257.3333333</v>
      </c>
      <c r="G22" s="2">
        <f t="shared" si="5"/>
        <v>225.1666667</v>
      </c>
      <c r="H22" s="2">
        <f t="shared" si="5"/>
        <v>193</v>
      </c>
      <c r="I22" s="2">
        <f t="shared" si="5"/>
        <v>160.8333333</v>
      </c>
      <c r="J22" s="2">
        <f t="shared" si="5"/>
        <v>128.6666667</v>
      </c>
      <c r="K22" s="2">
        <f t="shared" si="5"/>
        <v>96.5</v>
      </c>
      <c r="L22" s="2">
        <f t="shared" si="5"/>
        <v>64.33333333</v>
      </c>
      <c r="M22" s="2">
        <f t="shared" si="5"/>
        <v>32.16666667</v>
      </c>
      <c r="N22" s="2">
        <f t="shared" si="5"/>
        <v>0</v>
      </c>
      <c r="O22" s="2"/>
    </row>
    <row r="23" ht="14.25" customHeight="1">
      <c r="A23" s="2"/>
      <c r="B23" s="1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4.25" customHeight="1">
      <c r="A24" s="2"/>
      <c r="B24" s="17"/>
      <c r="C24" s="2"/>
      <c r="D24" s="2"/>
      <c r="E24" s="2"/>
      <c r="F24" s="2"/>
      <c r="G24" s="17"/>
      <c r="H24" s="2"/>
      <c r="I24" s="2"/>
      <c r="J24" s="2"/>
      <c r="K24" s="2"/>
      <c r="L24" s="2"/>
      <c r="M24" s="2"/>
      <c r="N24" s="2"/>
      <c r="O24" s="2"/>
    </row>
    <row r="25" ht="14.25" customHeight="1">
      <c r="A25" s="2"/>
      <c r="B25" s="17"/>
      <c r="C25" s="2"/>
      <c r="D25" s="2"/>
      <c r="E25" s="2"/>
      <c r="F25" s="2"/>
      <c r="G25" s="17"/>
      <c r="H25" s="2"/>
      <c r="I25" s="2"/>
      <c r="J25" s="2"/>
      <c r="K25" s="2"/>
      <c r="L25" s="2"/>
      <c r="M25" s="2"/>
      <c r="N25" s="2"/>
      <c r="O25" s="2"/>
    </row>
    <row r="26" ht="14.25" customHeight="1">
      <c r="A26" s="2"/>
      <c r="B26" s="17"/>
      <c r="C26" s="2"/>
      <c r="D26" s="2"/>
      <c r="E26" s="2"/>
      <c r="F26" s="2"/>
      <c r="G26" s="17"/>
      <c r="H26" s="2"/>
      <c r="I26" s="2"/>
    </row>
    <row r="27">
      <c r="A27" s="2"/>
      <c r="B27" s="17"/>
      <c r="C27" s="2"/>
      <c r="D27" s="2"/>
      <c r="E27" s="2"/>
      <c r="F27" s="2"/>
      <c r="G27" s="17"/>
      <c r="H27" s="2"/>
      <c r="I27" s="2"/>
    </row>
    <row r="28" ht="14.25" customHeight="1">
      <c r="A28" s="2"/>
      <c r="B28" s="17"/>
      <c r="C28" s="2"/>
      <c r="D28" s="2"/>
      <c r="E28" s="2"/>
      <c r="F28" s="2"/>
      <c r="G28" s="17"/>
      <c r="H28" s="2"/>
      <c r="I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