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Sprint 4" sheetId="4" r:id="rId7"/>
    <sheet state="visible" name="Sprint 5" sheetId="5" r:id="rId8"/>
    <sheet state="visible" name="Sprint 6" sheetId="6" r:id="rId9"/>
    <sheet state="visible" name="Sprint 7" sheetId="7" r:id="rId10"/>
    <sheet state="visible" name="Sprint 8" sheetId="8" r:id="rId11"/>
    <sheet state="visible" name="Sprint 9" sheetId="9" r:id="rId12"/>
  </sheets>
  <definedNames/>
  <calcPr/>
</workbook>
</file>

<file path=xl/sharedStrings.xml><?xml version="1.0" encoding="utf-8"?>
<sst xmlns="http://schemas.openxmlformats.org/spreadsheetml/2006/main" count="320" uniqueCount="79">
  <si>
    <t>Identificador (ID) de item de product backlog</t>
  </si>
  <si>
    <t>Nombre</t>
  </si>
  <si>
    <t>Rol</t>
  </si>
  <si>
    <t>Estatus</t>
  </si>
  <si>
    <t>Costo por hora</t>
  </si>
  <si>
    <t>Horas trabajadas</t>
  </si>
  <si>
    <t>Costo total</t>
  </si>
  <si>
    <t>Porcentaje</t>
  </si>
  <si>
    <t>E1-H1</t>
  </si>
  <si>
    <t>Mauricio</t>
  </si>
  <si>
    <t>Development Team</t>
  </si>
  <si>
    <t>Finalizado</t>
  </si>
  <si>
    <t>E1-H3</t>
  </si>
  <si>
    <t>E1-H6</t>
  </si>
  <si>
    <t>E1-H8</t>
  </si>
  <si>
    <t>Vanessa</t>
  </si>
  <si>
    <t>E4-H22</t>
  </si>
  <si>
    <t>Jonathan</t>
  </si>
  <si>
    <t>Scrum Master, Development Team</t>
  </si>
  <si>
    <t>E4-H24</t>
  </si>
  <si>
    <t>E4-H25</t>
  </si>
  <si>
    <t>E4-H28</t>
  </si>
  <si>
    <t>E4-H37</t>
  </si>
  <si>
    <t>E4-H38</t>
  </si>
  <si>
    <t>E6-H48</t>
  </si>
  <si>
    <t>Alexandra / Vanessa</t>
  </si>
  <si>
    <t>E6-H49</t>
  </si>
  <si>
    <t>E6-H52</t>
  </si>
  <si>
    <t>E1-H2</t>
  </si>
  <si>
    <t>Mauricio/Vanessa</t>
  </si>
  <si>
    <t>E1-H4</t>
  </si>
  <si>
    <t>E1-H5</t>
  </si>
  <si>
    <t>E4-H23</t>
  </si>
  <si>
    <t>Jonathan/Alexandra</t>
  </si>
  <si>
    <t>E4-H26</t>
  </si>
  <si>
    <t>E6-H50</t>
  </si>
  <si>
    <t>Vanessa/Alexandra</t>
  </si>
  <si>
    <t>E6-H51</t>
  </si>
  <si>
    <t>E1-H7</t>
  </si>
  <si>
    <t>E1-H12</t>
  </si>
  <si>
    <t>E1-H9</t>
  </si>
  <si>
    <t>E4-H30</t>
  </si>
  <si>
    <t>E4-H33</t>
  </si>
  <si>
    <t>E4-H35</t>
  </si>
  <si>
    <t>E4-H36</t>
  </si>
  <si>
    <t>E4-H41</t>
  </si>
  <si>
    <t>E5-H47</t>
  </si>
  <si>
    <t>E6-H53</t>
  </si>
  <si>
    <t>E1-H16</t>
  </si>
  <si>
    <t>E4-H27</t>
  </si>
  <si>
    <t>E4-H29</t>
  </si>
  <si>
    <t>E1-H11</t>
  </si>
  <si>
    <t>E4-H42</t>
  </si>
  <si>
    <t>E4-H43</t>
  </si>
  <si>
    <t>E7-H58</t>
  </si>
  <si>
    <t>E7-H59</t>
  </si>
  <si>
    <t>E1-H14</t>
  </si>
  <si>
    <t>E1-H13</t>
  </si>
  <si>
    <t>E4-H34</t>
  </si>
  <si>
    <t>E4-H40</t>
  </si>
  <si>
    <t>E1-H15</t>
  </si>
  <si>
    <t>E4-H44</t>
  </si>
  <si>
    <t>E4-H39</t>
  </si>
  <si>
    <t>E1-H10</t>
  </si>
  <si>
    <t>E4-H32</t>
  </si>
  <si>
    <t>E4-H45</t>
  </si>
  <si>
    <t>E4-H46</t>
  </si>
  <si>
    <t>E9-H61</t>
  </si>
  <si>
    <t>E2-H17</t>
  </si>
  <si>
    <t>E3-H18</t>
  </si>
  <si>
    <t>E3-H19</t>
  </si>
  <si>
    <t>E3-H20</t>
  </si>
  <si>
    <t>E3-H21</t>
  </si>
  <si>
    <t>E4-H31</t>
  </si>
  <si>
    <t>E6-H54</t>
  </si>
  <si>
    <t>E6-H55</t>
  </si>
  <si>
    <t>E6-H56</t>
  </si>
  <si>
    <t>E6-H57</t>
  </si>
  <si>
    <t>E8-H60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</si>
</sst>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"/>
    <numFmt numFmtId="165" formatCode="0.0%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7">
    <border/>
    <border>
      <left style="thin">
        <color rgb="FF6B8059"/>
      </left>
      <right style="thin">
        <color rgb="FF8EAA77"/>
      </right>
      <top style="thin">
        <color rgb="FF6B8059"/>
      </top>
      <bottom style="thin">
        <color rgb="FF6B8059"/>
      </bottom>
    </border>
    <border>
      <left style="thin">
        <color rgb="FF8EAA77"/>
      </left>
      <right style="thin">
        <color rgb="FF8EAA77"/>
      </right>
      <top style="thin">
        <color rgb="FF6B8059"/>
      </top>
      <bottom style="thin">
        <color rgb="FF6B8059"/>
      </bottom>
    </border>
    <border>
      <left style="thin">
        <color rgb="FF8EAA77"/>
      </left>
      <right style="thin">
        <color rgb="FF6B8059"/>
      </right>
      <top style="thin">
        <color rgb="FF6B8059"/>
      </top>
      <bottom style="thin">
        <color rgb="FF6B8059"/>
      </bottom>
    </border>
    <border>
      <left style="thin">
        <color rgb="FF6B8059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6B8059"/>
      </right>
      <top style="thin">
        <color rgb="FFFFFFFF"/>
      </top>
      <bottom style="thin">
        <color rgb="FFFFFFFF"/>
      </bottom>
    </border>
    <border>
      <left style="thin">
        <color rgb="FF6B805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6B8059"/>
      </right>
      <top style="thin">
        <color rgb="FFF6F8F9"/>
      </top>
      <bottom style="thin">
        <color rgb="FFF6F8F9"/>
      </bottom>
    </border>
    <border>
      <left style="thin">
        <color rgb="FF6B8059"/>
      </left>
      <right style="thin">
        <color rgb="FFFFFFFF"/>
      </right>
      <top style="thin">
        <color rgb="FFFFFFFF"/>
      </top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</border>
    <border>
      <left style="thin">
        <color rgb="FF6B8059"/>
      </left>
      <right style="thin">
        <color rgb="FFF6F8F9"/>
      </right>
      <top style="thin">
        <color rgb="FFF6F8F9"/>
      </top>
      <bottom style="thin">
        <color rgb="FF6B805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6B8059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6B8059"/>
      </left>
      <right style="thin">
        <color rgb="FFFFFFFF"/>
      </right>
      <top style="thin">
        <color rgb="FFFFFFFF"/>
      </top>
      <bottom style="thin">
        <color rgb="FF6B805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6B8059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49" xfId="0" applyAlignment="1" applyBorder="1" applyFont="1" applyNumberFormat="1">
      <alignment horizontal="center"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165" xfId="0" applyAlignment="1" applyBorder="1" applyFont="1" applyNumberFormat="1">
      <alignment shrinkToFit="0" vertical="center" wrapText="0"/>
    </xf>
    <xf borderId="7" fillId="0" fontId="1" numFmtId="49" xfId="0" applyAlignment="1" applyBorder="1" applyFont="1" applyNumberFormat="1">
      <alignment horizontal="center" readingOrder="0" shrinkToFit="0" vertical="center" wrapText="0"/>
    </xf>
    <xf borderId="8" fillId="0" fontId="1" numFmtId="49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9" fillId="0" fontId="1" numFmtId="165" xfId="0" applyAlignment="1" applyBorder="1" applyFont="1" applyNumberFormat="1">
      <alignment shrinkToFit="0" vertical="center" wrapText="0"/>
    </xf>
    <xf borderId="4" fillId="0" fontId="1" numFmtId="49" xfId="0" applyAlignment="1" applyBorder="1" applyFont="1" applyNumberFormat="1">
      <alignment horizontal="center" readingOrder="0" shrinkToFit="0" vertical="center" wrapText="0"/>
    </xf>
    <xf borderId="5" fillId="0" fontId="1" numFmtId="49" xfId="0" applyAlignment="1" applyBorder="1" applyFont="1" applyNumberFormat="1">
      <alignment readingOrder="0"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10" fillId="0" fontId="1" numFmtId="49" xfId="0" applyAlignment="1" applyBorder="1" applyFont="1" applyNumberFormat="1">
      <alignment horizontal="center" readingOrder="0" shrinkToFit="0" vertical="center" wrapText="0"/>
    </xf>
    <xf borderId="11" fillId="0" fontId="1" numFmtId="49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164" xfId="0" applyAlignment="1" applyBorder="1" applyFont="1" applyNumberFormat="1">
      <alignment readingOrder="0" shrinkToFit="0" vertical="center" wrapText="0"/>
    </xf>
    <xf borderId="12" fillId="0" fontId="1" numFmtId="49" xfId="0" applyAlignment="1" applyBorder="1" applyFont="1" applyNumberFormat="1">
      <alignment shrinkToFit="0" vertical="center" wrapText="0"/>
    </xf>
    <xf borderId="13" fillId="0" fontId="1" numFmtId="49" xfId="0" applyAlignment="1" applyBorder="1" applyFont="1" applyNumberForma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13" fillId="0" fontId="1" numFmtId="164" xfId="0" applyAlignment="1" applyBorder="1" applyFont="1" applyNumberFormat="1">
      <alignment shrinkToFit="0" vertical="center" wrapText="0"/>
    </xf>
    <xf borderId="14" fillId="0" fontId="1" numFmtId="0" xfId="0" applyAlignment="1" applyBorder="1" applyFont="1">
      <alignment shrinkToFit="0" vertical="center" wrapText="0"/>
    </xf>
    <xf borderId="14" fillId="0" fontId="1" numFmtId="164" xfId="0" applyAlignment="1" applyBorder="1" applyFont="1" applyNumberFormat="1">
      <alignment shrinkToFit="0" vertical="center" wrapText="0"/>
    </xf>
    <xf borderId="14" fillId="0" fontId="1" numFmtId="165" xfId="0" applyAlignment="1" applyBorder="1" applyFont="1" applyNumberFormat="1">
      <alignment shrinkToFit="0" vertical="center" wrapText="0"/>
    </xf>
    <xf borderId="6" fillId="0" fontId="1" numFmtId="9" xfId="0" applyAlignment="1" applyBorder="1" applyFont="1" applyNumberFormat="1">
      <alignment shrinkToFit="0" vertical="center" wrapText="0"/>
    </xf>
    <xf borderId="9" fillId="0" fontId="1" numFmtId="9" xfId="0" applyAlignment="1" applyBorder="1" applyFont="1" applyNumberFormat="1">
      <alignment shrinkToFit="0" vertical="center" wrapText="0"/>
    </xf>
    <xf borderId="14" fillId="0" fontId="1" numFmtId="9" xfId="0" applyAlignment="1" applyBorder="1" applyFont="1" applyNumberFormat="1">
      <alignment shrinkToFit="0" vertical="center" wrapText="0"/>
    </xf>
    <xf borderId="15" fillId="0" fontId="1" numFmtId="49" xfId="0" applyAlignment="1" applyBorder="1" applyFont="1" applyNumberFormat="1">
      <alignment shrinkToFit="0" vertical="center" wrapText="0"/>
    </xf>
    <xf borderId="16" fillId="0" fontId="1" numFmtId="49" xfId="0" applyAlignment="1" applyBorder="1" applyFont="1" applyNumberFormat="1">
      <alignment shrinkToFit="0" vertical="center" wrapText="0"/>
    </xf>
    <xf borderId="16" fillId="0" fontId="1" numFmtId="0" xfId="0" applyAlignment="1" applyBorder="1" applyFont="1">
      <alignment shrinkToFit="0" vertical="center" wrapText="0"/>
    </xf>
    <xf borderId="16" fillId="0" fontId="1" numFmtId="0" xfId="0" applyAlignment="1" applyBorder="1" applyFont="1">
      <alignment shrinkToFit="0" vertical="center" wrapText="0"/>
    </xf>
    <xf borderId="16" fillId="0" fontId="1" numFmtId="164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EAA77"/>
          <bgColor rgb="FF8EAA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9">
    <tableStyle count="3" pivot="0" name="Sprint 1-style">
      <tableStyleElement dxfId="1" type="headerRow"/>
      <tableStyleElement dxfId="2" type="firstRowStripe"/>
      <tableStyleElement dxfId="3" type="secondRowStripe"/>
    </tableStyle>
    <tableStyle count="3" pivot="0" name="Sprint 2-style">
      <tableStyleElement dxfId="1" type="headerRow"/>
      <tableStyleElement dxfId="2" type="firstRowStripe"/>
      <tableStyleElement dxfId="3" type="secondRowStripe"/>
    </tableStyle>
    <tableStyle count="3" pivot="0" name="Sprint 3-style">
      <tableStyleElement dxfId="1" type="headerRow"/>
      <tableStyleElement dxfId="2" type="firstRowStripe"/>
      <tableStyleElement dxfId="3" type="secondRowStripe"/>
    </tableStyle>
    <tableStyle count="3" pivot="0" name="Sprint 4-style">
      <tableStyleElement dxfId="1" type="headerRow"/>
      <tableStyleElement dxfId="2" type="firstRowStripe"/>
      <tableStyleElement dxfId="3" type="secondRowStripe"/>
    </tableStyle>
    <tableStyle count="3" pivot="0" name="Sprint 5-style">
      <tableStyleElement dxfId="1" type="headerRow"/>
      <tableStyleElement dxfId="2" type="firstRowStripe"/>
      <tableStyleElement dxfId="3" type="secondRowStripe"/>
    </tableStyle>
    <tableStyle count="3" pivot="0" name="Sprint 6-style">
      <tableStyleElement dxfId="1" type="headerRow"/>
      <tableStyleElement dxfId="2" type="firstRowStripe"/>
      <tableStyleElement dxfId="3" type="secondRowStripe"/>
    </tableStyle>
    <tableStyle count="3" pivot="0" name="Sprint 7-style">
      <tableStyleElement dxfId="1" type="headerRow"/>
      <tableStyleElement dxfId="2" type="firstRowStripe"/>
      <tableStyleElement dxfId="3" type="secondRowStripe"/>
    </tableStyle>
    <tableStyle count="3" pivot="0" name="Sprint 8-style">
      <tableStyleElement dxfId="1" type="headerRow"/>
      <tableStyleElement dxfId="2" type="firstRowStripe"/>
      <tableStyleElement dxfId="3" type="secondRowStripe"/>
    </tableStyle>
    <tableStyle count="3" pivot="0" name="Sprint 9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5" displayName="Sprint_1" name="Sprint_1" id="1">
  <tableColumns count="8">
    <tableColumn name="Identificador (ID) de item de product backlog" id="1"/>
    <tableColumn name="Nombre" id="2"/>
    <tableColumn name="Rol" id="3"/>
    <tableColumn name="Estatus" id="4"/>
    <tableColumn name="Costo por hora" id="5"/>
    <tableColumn name="Horas trabajadas" id="6"/>
    <tableColumn name="Costo total" id="7"/>
    <tableColumn name="Porcentaje" id="8"/>
  </tableColumns>
  <tableStyleInfo name="Sprint 1-style" showColumnStripes="0" showFirstColumn="1" showLastColumn="1" showRowStripes="1"/>
</table>
</file>

<file path=xl/tables/table2.xml><?xml version="1.0" encoding="utf-8"?>
<table xmlns="http://schemas.openxmlformats.org/spreadsheetml/2006/main" ref="A1:H9" displayName="Sprint_1_2" name="Sprint_1_2" id="2">
  <tableColumns count="8">
    <tableColumn name="Identificador (ID) de item de product backlog" id="1"/>
    <tableColumn name="Nombre" id="2"/>
    <tableColumn name="Rol" id="3"/>
    <tableColumn name="Estatus" id="4"/>
    <tableColumn name="Costo por hora" id="5"/>
    <tableColumn name="Horas trabajadas" id="6"/>
    <tableColumn name="Costo total" id="7"/>
    <tableColumn name="Porcentaje" id="8"/>
  </tableColumns>
  <tableStyleInfo name="Sprint 2-style" showColumnStripes="0" showFirstColumn="1" showLastColumn="1" showRowStripes="1"/>
</table>
</file>

<file path=xl/tables/table3.xml><?xml version="1.0" encoding="utf-8"?>
<table xmlns="http://schemas.openxmlformats.org/spreadsheetml/2006/main" ref="A1:H12" displayName="Sprint_1_9" name="Sprint_1_9" id="3">
  <tableColumns count="8">
    <tableColumn name="Identificador (ID) de item de product backlog" id="1"/>
    <tableColumn name="Nombre" id="2"/>
    <tableColumn name="Rol" id="3"/>
    <tableColumn name="Estatus" id="4"/>
    <tableColumn name="Costo por hora" id="5"/>
    <tableColumn name="Horas trabajadas" id="6"/>
    <tableColumn name="Costo total" id="7"/>
    <tableColumn name="Porcentaje" id="8"/>
  </tableColumns>
  <tableStyleInfo name="Sprint 3-style" showColumnStripes="0" showFirstColumn="1" showLastColumn="1" showRowStripes="1"/>
</table>
</file>

<file path=xl/tables/table4.xml><?xml version="1.0" encoding="utf-8"?>
<table xmlns="http://schemas.openxmlformats.org/spreadsheetml/2006/main" ref="A1:H5" displayName="Sprint_1_8" name="Sprint_1_8" id="4">
  <tableColumns count="8">
    <tableColumn name="Identificador (ID) de item de product backlog" id="1"/>
    <tableColumn name="Nombre" id="2"/>
    <tableColumn name="Rol" id="3"/>
    <tableColumn name="Estatus" id="4"/>
    <tableColumn name="Costo por hora" id="5"/>
    <tableColumn name="Horas trabajadas" id="6"/>
    <tableColumn name="Costo total" id="7"/>
    <tableColumn name="Porcentaje" id="8"/>
  </tableColumns>
  <tableStyleInfo name="Sprint 4-style" showColumnStripes="0" showFirstColumn="1" showLastColumn="1" showRowStripes="1"/>
</table>
</file>

<file path=xl/tables/table5.xml><?xml version="1.0" encoding="utf-8"?>
<table xmlns="http://schemas.openxmlformats.org/spreadsheetml/2006/main" ref="A1:H7" displayName="Sprint_1_7" name="Sprint_1_7" id="5">
  <tableColumns count="8">
    <tableColumn name="Identificador (ID) de item de product backlog" id="1"/>
    <tableColumn name="Nombre" id="2"/>
    <tableColumn name="Rol" id="3"/>
    <tableColumn name="Estatus" id="4"/>
    <tableColumn name="Costo por hora" id="5"/>
    <tableColumn name="Horas trabajadas" id="6"/>
    <tableColumn name="Costo total" id="7"/>
    <tableColumn name="Porcentaje" id="8"/>
  </tableColumns>
  <tableStyleInfo name="Sprint 5-style" showColumnStripes="0" showFirstColumn="1" showLastColumn="1" showRowStripes="1"/>
</table>
</file>

<file path=xl/tables/table6.xml><?xml version="1.0" encoding="utf-8"?>
<table xmlns="http://schemas.openxmlformats.org/spreadsheetml/2006/main" ref="A1:H6" displayName="Sprint_1_6" name="Sprint_1_6" id="6">
  <tableColumns count="8">
    <tableColumn name="Identificador (ID) de item de product backlog" id="1"/>
    <tableColumn name="Nombre" id="2"/>
    <tableColumn name="Rol" id="3"/>
    <tableColumn name="Estatus" id="4"/>
    <tableColumn name="Costo por hora" id="5"/>
    <tableColumn name="Horas trabajadas" id="6"/>
    <tableColumn name="Costo total" id="7"/>
    <tableColumn name="Porcentaje" id="8"/>
  </tableColumns>
  <tableStyleInfo name="Sprint 6-style" showColumnStripes="0" showFirstColumn="1" showLastColumn="1" showRowStripes="1"/>
</table>
</file>

<file path=xl/tables/table7.xml><?xml version="1.0" encoding="utf-8"?>
<table xmlns="http://schemas.openxmlformats.org/spreadsheetml/2006/main" ref="A1:H6" displayName="Sprint_1_5" name="Sprint_1_5" id="7">
  <tableColumns count="8">
    <tableColumn name="Identificador (ID) de item de product backlog" id="1"/>
    <tableColumn name="Nombre" id="2"/>
    <tableColumn name="Rol" id="3"/>
    <tableColumn name="Estatus" id="4"/>
    <tableColumn name="Costo por hora" id="5"/>
    <tableColumn name="Horas trabajadas" id="6"/>
    <tableColumn name="Costo total" id="7"/>
    <tableColumn name="Porcentaje" id="8"/>
  </tableColumns>
  <tableStyleInfo name="Sprint 7-style" showColumnStripes="0" showFirstColumn="1" showLastColumn="1" showRowStripes="1"/>
</table>
</file>

<file path=xl/tables/table8.xml><?xml version="1.0" encoding="utf-8"?>
<table xmlns="http://schemas.openxmlformats.org/spreadsheetml/2006/main" ref="A1:H7" displayName="Sprint_1_4" name="Sprint_1_4" id="8">
  <tableColumns count="8">
    <tableColumn name="Identificador (ID) de item de product backlog" id="1"/>
    <tableColumn name="Nombre" id="2"/>
    <tableColumn name="Rol" id="3"/>
    <tableColumn name="Estatus" id="4"/>
    <tableColumn name="Costo por hora" id="5"/>
    <tableColumn name="Horas trabajadas" id="6"/>
    <tableColumn name="Costo total" id="7"/>
    <tableColumn name="Porcentaje" id="8"/>
  </tableColumns>
  <tableStyleInfo name="Sprint 8-style" showColumnStripes="0" showFirstColumn="1" showLastColumn="1" showRowStripes="1"/>
</table>
</file>

<file path=xl/tables/table9.xml><?xml version="1.0" encoding="utf-8"?>
<table xmlns="http://schemas.openxmlformats.org/spreadsheetml/2006/main" ref="A1:H13" displayName="Sprint_1_3" name="Sprint_1_3" id="9">
  <tableColumns count="8">
    <tableColumn name="Identificador (ID) de item de product backlog" id="1"/>
    <tableColumn name="Nombre" id="2"/>
    <tableColumn name="Rol" id="3"/>
    <tableColumn name="Estatus" id="4"/>
    <tableColumn name="Costo por hora" id="5"/>
    <tableColumn name="Horas trabajadas" id="6"/>
    <tableColumn name="Costo total" id="7"/>
    <tableColumn name="Porcentaje" id="8"/>
  </tableColumns>
  <tableStyleInfo name="Sprint 9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7.5"/>
    <col customWidth="1" min="3" max="3" width="21.88"/>
    <col customWidth="1" min="4" max="4" width="16.5"/>
    <col customWidth="1" min="5" max="5" width="19.75"/>
    <col customWidth="1" min="6" max="6" width="16.63"/>
    <col customWidth="1" min="7" max="7" width="16.88"/>
    <col customWidth="1" min="8" max="8" width="1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5" t="s">
        <v>9</v>
      </c>
      <c r="C2" s="6" t="s">
        <v>10</v>
      </c>
      <c r="D2" s="7" t="s">
        <v>11</v>
      </c>
      <c r="E2" s="8">
        <v>18000.0</v>
      </c>
      <c r="F2" s="9">
        <v>12.0</v>
      </c>
      <c r="G2" s="8">
        <f t="shared" ref="G2:G14" si="1">E2*F2</f>
        <v>216000</v>
      </c>
      <c r="H2" s="10">
        <f t="shared" ref="H2:H15" si="2">G2/$G$15</f>
        <v>0.07489597781</v>
      </c>
    </row>
    <row r="3">
      <c r="A3" s="11" t="s">
        <v>12</v>
      </c>
      <c r="B3" s="12" t="s">
        <v>9</v>
      </c>
      <c r="C3" s="13" t="s">
        <v>10</v>
      </c>
      <c r="D3" s="14" t="s">
        <v>11</v>
      </c>
      <c r="E3" s="15">
        <v>18000.0</v>
      </c>
      <c r="F3" s="16">
        <v>15.0</v>
      </c>
      <c r="G3" s="17">
        <f t="shared" si="1"/>
        <v>270000</v>
      </c>
      <c r="H3" s="18">
        <f t="shared" si="2"/>
        <v>0.09361997226</v>
      </c>
    </row>
    <row r="4">
      <c r="A4" s="19" t="s">
        <v>13</v>
      </c>
      <c r="B4" s="20" t="s">
        <v>9</v>
      </c>
      <c r="C4" s="6" t="s">
        <v>10</v>
      </c>
      <c r="D4" s="7" t="s">
        <v>11</v>
      </c>
      <c r="E4" s="8">
        <v>18000.0</v>
      </c>
      <c r="F4" s="9">
        <v>7.0</v>
      </c>
      <c r="G4" s="21">
        <f t="shared" si="1"/>
        <v>126000</v>
      </c>
      <c r="H4" s="10">
        <f t="shared" si="2"/>
        <v>0.04368932039</v>
      </c>
    </row>
    <row r="5">
      <c r="A5" s="11" t="s">
        <v>14</v>
      </c>
      <c r="B5" s="12" t="s">
        <v>15</v>
      </c>
      <c r="C5" s="13" t="s">
        <v>10</v>
      </c>
      <c r="D5" s="14" t="s">
        <v>11</v>
      </c>
      <c r="E5" s="15">
        <v>18000.0</v>
      </c>
      <c r="F5" s="16">
        <v>0.0</v>
      </c>
      <c r="G5" s="17">
        <f t="shared" si="1"/>
        <v>0</v>
      </c>
      <c r="H5" s="18">
        <f t="shared" si="2"/>
        <v>0</v>
      </c>
    </row>
    <row r="6">
      <c r="A6" s="19" t="s">
        <v>16</v>
      </c>
      <c r="B6" s="20" t="s">
        <v>17</v>
      </c>
      <c r="C6" s="22" t="s">
        <v>18</v>
      </c>
      <c r="D6" s="7" t="s">
        <v>11</v>
      </c>
      <c r="E6" s="8">
        <v>20000.0</v>
      </c>
      <c r="F6" s="9">
        <v>10.0</v>
      </c>
      <c r="G6" s="21">
        <f t="shared" si="1"/>
        <v>200000</v>
      </c>
      <c r="H6" s="10">
        <f t="shared" si="2"/>
        <v>0.0693481276</v>
      </c>
    </row>
    <row r="7">
      <c r="A7" s="11" t="s">
        <v>19</v>
      </c>
      <c r="B7" s="12" t="s">
        <v>17</v>
      </c>
      <c r="C7" s="23" t="s">
        <v>18</v>
      </c>
      <c r="D7" s="14" t="s">
        <v>11</v>
      </c>
      <c r="E7" s="15">
        <v>20000.0</v>
      </c>
      <c r="F7" s="16">
        <v>13.0</v>
      </c>
      <c r="G7" s="17">
        <f t="shared" si="1"/>
        <v>260000</v>
      </c>
      <c r="H7" s="18">
        <f t="shared" si="2"/>
        <v>0.09015256588</v>
      </c>
    </row>
    <row r="8">
      <c r="A8" s="19" t="s">
        <v>20</v>
      </c>
      <c r="B8" s="20" t="s">
        <v>17</v>
      </c>
      <c r="C8" s="22" t="s">
        <v>18</v>
      </c>
      <c r="D8" s="7" t="s">
        <v>11</v>
      </c>
      <c r="E8" s="8">
        <v>20000.0</v>
      </c>
      <c r="F8" s="9">
        <v>9.0</v>
      </c>
      <c r="G8" s="21">
        <f t="shared" si="1"/>
        <v>180000</v>
      </c>
      <c r="H8" s="10">
        <f t="shared" si="2"/>
        <v>0.06241331484</v>
      </c>
    </row>
    <row r="9">
      <c r="A9" s="11" t="s">
        <v>21</v>
      </c>
      <c r="B9" s="12" t="s">
        <v>17</v>
      </c>
      <c r="C9" s="23" t="s">
        <v>18</v>
      </c>
      <c r="D9" s="14" t="s">
        <v>11</v>
      </c>
      <c r="E9" s="15">
        <v>20000.0</v>
      </c>
      <c r="F9" s="16">
        <v>0.0</v>
      </c>
      <c r="G9" s="17">
        <f t="shared" si="1"/>
        <v>0</v>
      </c>
      <c r="H9" s="18">
        <f t="shared" si="2"/>
        <v>0</v>
      </c>
    </row>
    <row r="10">
      <c r="A10" s="19" t="s">
        <v>22</v>
      </c>
      <c r="B10" s="20" t="s">
        <v>17</v>
      </c>
      <c r="C10" s="22" t="s">
        <v>18</v>
      </c>
      <c r="D10" s="7" t="s">
        <v>11</v>
      </c>
      <c r="E10" s="8">
        <v>20000.0</v>
      </c>
      <c r="F10" s="9">
        <v>7.0</v>
      </c>
      <c r="G10" s="21">
        <f t="shared" si="1"/>
        <v>140000</v>
      </c>
      <c r="H10" s="10">
        <f t="shared" si="2"/>
        <v>0.04854368932</v>
      </c>
    </row>
    <row r="11">
      <c r="A11" s="11" t="s">
        <v>23</v>
      </c>
      <c r="B11" s="12" t="s">
        <v>17</v>
      </c>
      <c r="C11" s="23" t="s">
        <v>18</v>
      </c>
      <c r="D11" s="14" t="s">
        <v>11</v>
      </c>
      <c r="E11" s="15">
        <v>20000.0</v>
      </c>
      <c r="F11" s="16">
        <v>8.0</v>
      </c>
      <c r="G11" s="17">
        <f t="shared" si="1"/>
        <v>160000</v>
      </c>
      <c r="H11" s="18">
        <f t="shared" si="2"/>
        <v>0.05547850208</v>
      </c>
    </row>
    <row r="12">
      <c r="A12" s="19" t="s">
        <v>24</v>
      </c>
      <c r="B12" s="20" t="s">
        <v>25</v>
      </c>
      <c r="C12" s="6" t="s">
        <v>10</v>
      </c>
      <c r="D12" s="7" t="s">
        <v>11</v>
      </c>
      <c r="E12" s="8">
        <v>36000.0</v>
      </c>
      <c r="F12" s="9">
        <v>10.0</v>
      </c>
      <c r="G12" s="21">
        <f t="shared" si="1"/>
        <v>360000</v>
      </c>
      <c r="H12" s="10">
        <f t="shared" si="2"/>
        <v>0.1248266297</v>
      </c>
    </row>
    <row r="13">
      <c r="A13" s="11" t="s">
        <v>26</v>
      </c>
      <c r="B13" s="12" t="s">
        <v>25</v>
      </c>
      <c r="C13" s="13" t="s">
        <v>10</v>
      </c>
      <c r="D13" s="14" t="s">
        <v>11</v>
      </c>
      <c r="E13" s="15">
        <v>36000.0</v>
      </c>
      <c r="F13" s="16">
        <v>13.0</v>
      </c>
      <c r="G13" s="17">
        <f t="shared" si="1"/>
        <v>468000</v>
      </c>
      <c r="H13" s="18">
        <f t="shared" si="2"/>
        <v>0.1622746186</v>
      </c>
    </row>
    <row r="14">
      <c r="A14" s="24" t="s">
        <v>27</v>
      </c>
      <c r="B14" s="25" t="s">
        <v>25</v>
      </c>
      <c r="C14" s="26" t="s">
        <v>10</v>
      </c>
      <c r="D14" s="27" t="s">
        <v>11</v>
      </c>
      <c r="E14" s="28">
        <v>36000.0</v>
      </c>
      <c r="F14" s="9">
        <v>14.0</v>
      </c>
      <c r="G14" s="21">
        <f t="shared" si="1"/>
        <v>504000</v>
      </c>
      <c r="H14" s="10">
        <f t="shared" si="2"/>
        <v>0.1747572816</v>
      </c>
    </row>
    <row r="15">
      <c r="A15" s="29"/>
      <c r="B15" s="30"/>
      <c r="C15" s="31"/>
      <c r="D15" s="32"/>
      <c r="E15" s="33"/>
      <c r="F15" s="34">
        <f> F2+F3+F4+F5+F6+F7+F8+F9+F10+F11+F12+F13+F14</f>
        <v>118</v>
      </c>
      <c r="G15" s="35">
        <f>G2+G3+G4+G5+G6+G7+G8+G9+G10+G11+G12+G13+G14</f>
        <v>2884000</v>
      </c>
      <c r="H15" s="36">
        <f t="shared" si="2"/>
        <v>1</v>
      </c>
    </row>
  </sheetData>
  <dataValidations>
    <dataValidation type="custom" allowBlank="1" showDropDown="1" sqref="E2:H15">
      <formula1>AND(ISNUMBER(E2),(NOT(OR(NOT(ISERROR(DATEVALUE(E2))), AND(ISNUMBER(E2), LEFT(CELL("format", E2))="D")))))</formula1>
    </dataValidation>
    <dataValidation type="list" allowBlank="1" sqref="D2:D15">
      <formula1>"Finalizado,En proceso,Re-organizado"</formula1>
    </dataValidation>
    <dataValidation allowBlank="1" showDropDown="1" sqref="A2:B15"/>
    <dataValidation type="list" allowBlank="1" sqref="C2:C15">
      <formula1>"Scrum Master,Development Team"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7.5"/>
    <col customWidth="1" min="3" max="3" width="21.88"/>
    <col customWidth="1" min="4" max="4" width="16.5"/>
    <col customWidth="1" min="5" max="5" width="19.75"/>
    <col customWidth="1" min="6" max="6" width="16.63"/>
    <col customWidth="1" min="7" max="7" width="16.88"/>
    <col customWidth="1" min="8" max="8" width="1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19" t="s">
        <v>28</v>
      </c>
      <c r="B2" s="5" t="s">
        <v>29</v>
      </c>
      <c r="C2" s="6" t="s">
        <v>10</v>
      </c>
      <c r="D2" s="7" t="s">
        <v>11</v>
      </c>
      <c r="E2" s="8">
        <v>18000.0</v>
      </c>
      <c r="F2" s="9">
        <v>12.0</v>
      </c>
      <c r="G2" s="8">
        <f t="shared" ref="G2:G8" si="1">E2*F2</f>
        <v>216000</v>
      </c>
      <c r="H2" s="37">
        <f t="shared" ref="H2:H8" si="2">G2/$G$9</f>
        <v>0.1725239617</v>
      </c>
    </row>
    <row r="3">
      <c r="A3" s="11" t="s">
        <v>30</v>
      </c>
      <c r="B3" s="12" t="s">
        <v>15</v>
      </c>
      <c r="C3" s="13" t="s">
        <v>10</v>
      </c>
      <c r="D3" s="14" t="s">
        <v>11</v>
      </c>
      <c r="E3" s="15">
        <v>18000.0</v>
      </c>
      <c r="F3" s="16">
        <v>15.0</v>
      </c>
      <c r="G3" s="17">
        <f t="shared" si="1"/>
        <v>270000</v>
      </c>
      <c r="H3" s="38">
        <f t="shared" si="2"/>
        <v>0.2156549521</v>
      </c>
    </row>
    <row r="4">
      <c r="A4" s="19" t="s">
        <v>31</v>
      </c>
      <c r="B4" s="20" t="s">
        <v>9</v>
      </c>
      <c r="C4" s="6" t="s">
        <v>10</v>
      </c>
      <c r="D4" s="7" t="s">
        <v>11</v>
      </c>
      <c r="E4" s="8">
        <v>18000.0</v>
      </c>
      <c r="F4" s="9">
        <v>7.0</v>
      </c>
      <c r="G4" s="21">
        <f t="shared" si="1"/>
        <v>126000</v>
      </c>
      <c r="H4" s="37">
        <f t="shared" si="2"/>
        <v>0.1006389776</v>
      </c>
    </row>
    <row r="5">
      <c r="A5" s="11" t="s">
        <v>32</v>
      </c>
      <c r="B5" s="12" t="s">
        <v>33</v>
      </c>
      <c r="C5" s="13" t="s">
        <v>10</v>
      </c>
      <c r="D5" s="14" t="s">
        <v>11</v>
      </c>
      <c r="E5" s="15">
        <v>18000.0</v>
      </c>
      <c r="F5" s="16">
        <v>0.0</v>
      </c>
      <c r="G5" s="17">
        <f t="shared" si="1"/>
        <v>0</v>
      </c>
      <c r="H5" s="38">
        <f t="shared" si="2"/>
        <v>0</v>
      </c>
    </row>
    <row r="6">
      <c r="A6" s="19" t="s">
        <v>34</v>
      </c>
      <c r="B6" s="20" t="s">
        <v>17</v>
      </c>
      <c r="C6" s="22" t="s">
        <v>18</v>
      </c>
      <c r="D6" s="7" t="s">
        <v>11</v>
      </c>
      <c r="E6" s="8">
        <v>20000.0</v>
      </c>
      <c r="F6" s="9">
        <v>10.0</v>
      </c>
      <c r="G6" s="21">
        <f t="shared" si="1"/>
        <v>200000</v>
      </c>
      <c r="H6" s="37">
        <f t="shared" si="2"/>
        <v>0.1597444089</v>
      </c>
    </row>
    <row r="7">
      <c r="A7" s="11" t="s">
        <v>35</v>
      </c>
      <c r="B7" s="12" t="s">
        <v>36</v>
      </c>
      <c r="C7" s="23" t="s">
        <v>18</v>
      </c>
      <c r="D7" s="14" t="s">
        <v>11</v>
      </c>
      <c r="E7" s="15">
        <v>20000.0</v>
      </c>
      <c r="F7" s="16">
        <v>13.0</v>
      </c>
      <c r="G7" s="17">
        <f t="shared" si="1"/>
        <v>260000</v>
      </c>
      <c r="H7" s="38">
        <f t="shared" si="2"/>
        <v>0.2076677316</v>
      </c>
    </row>
    <row r="8">
      <c r="A8" s="19" t="s">
        <v>37</v>
      </c>
      <c r="B8" s="20" t="s">
        <v>17</v>
      </c>
      <c r="C8" s="22" t="s">
        <v>18</v>
      </c>
      <c r="D8" s="7" t="s">
        <v>11</v>
      </c>
      <c r="E8" s="8">
        <v>20000.0</v>
      </c>
      <c r="F8" s="9">
        <v>9.0</v>
      </c>
      <c r="G8" s="21">
        <f t="shared" si="1"/>
        <v>180000</v>
      </c>
      <c r="H8" s="37">
        <f t="shared" si="2"/>
        <v>0.1437699681</v>
      </c>
    </row>
    <row r="9">
      <c r="A9" s="29"/>
      <c r="B9" s="30"/>
      <c r="C9" s="31"/>
      <c r="D9" s="32"/>
      <c r="E9" s="33"/>
      <c r="F9" s="34">
        <f> F2+F3+F4+F5+F6+F7+F8</f>
        <v>66</v>
      </c>
      <c r="G9" s="35">
        <f>G2+G3+G4+G5+G6+G7+G8</f>
        <v>1252000</v>
      </c>
      <c r="H9" s="39">
        <f>SUM(H2:H8)</f>
        <v>1</v>
      </c>
    </row>
  </sheetData>
  <dataValidations>
    <dataValidation type="custom" allowBlank="1" showDropDown="1" sqref="E2:H9">
      <formula1>AND(ISNUMBER(E2),(NOT(OR(NOT(ISERROR(DATEVALUE(E2))), AND(ISNUMBER(E2), LEFT(CELL("format", E2))="D")))))</formula1>
    </dataValidation>
    <dataValidation type="list" allowBlank="1" sqref="D2:D9">
      <formula1>"Finalizado,En proceso,Re-organizado"</formula1>
    </dataValidation>
    <dataValidation allowBlank="1" showDropDown="1" sqref="A2:B9"/>
    <dataValidation type="list" allowBlank="1" sqref="C2:C9">
      <formula1>"Scrum Master,Development Team"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7.5"/>
    <col customWidth="1" min="3" max="3" width="21.88"/>
    <col customWidth="1" min="4" max="4" width="16.5"/>
    <col customWidth="1" min="5" max="5" width="19.75"/>
    <col customWidth="1" min="6" max="6" width="16.63"/>
    <col customWidth="1" min="7" max="7" width="16.88"/>
    <col customWidth="1" min="8" max="8" width="1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19" t="s">
        <v>38</v>
      </c>
      <c r="B2" s="5" t="s">
        <v>9</v>
      </c>
      <c r="C2" s="6" t="s">
        <v>10</v>
      </c>
      <c r="D2" s="7" t="s">
        <v>11</v>
      </c>
      <c r="E2" s="8">
        <v>18000.0</v>
      </c>
      <c r="F2" s="9">
        <v>12.0</v>
      </c>
      <c r="G2" s="8">
        <f t="shared" ref="G2:G11" si="1">E2*F2</f>
        <v>216000</v>
      </c>
      <c r="H2" s="37">
        <f t="shared" ref="H2:H11" si="2">G2/$G$12</f>
        <v>0.1391752577</v>
      </c>
    </row>
    <row r="3">
      <c r="A3" s="11" t="s">
        <v>39</v>
      </c>
      <c r="B3" s="12" t="s">
        <v>9</v>
      </c>
      <c r="C3" s="13" t="s">
        <v>10</v>
      </c>
      <c r="D3" s="14" t="s">
        <v>11</v>
      </c>
      <c r="E3" s="15">
        <v>18000.0</v>
      </c>
      <c r="F3" s="16">
        <v>15.0</v>
      </c>
      <c r="G3" s="17">
        <f t="shared" si="1"/>
        <v>270000</v>
      </c>
      <c r="H3" s="38">
        <f t="shared" si="2"/>
        <v>0.1739690722</v>
      </c>
    </row>
    <row r="4">
      <c r="A4" s="19" t="s">
        <v>40</v>
      </c>
      <c r="B4" s="20" t="s">
        <v>9</v>
      </c>
      <c r="C4" s="6" t="s">
        <v>10</v>
      </c>
      <c r="D4" s="7" t="s">
        <v>11</v>
      </c>
      <c r="E4" s="8">
        <v>18000.0</v>
      </c>
      <c r="F4" s="9">
        <v>7.0</v>
      </c>
      <c r="G4" s="21">
        <f t="shared" si="1"/>
        <v>126000</v>
      </c>
      <c r="H4" s="37">
        <f t="shared" si="2"/>
        <v>0.08118556701</v>
      </c>
    </row>
    <row r="5">
      <c r="A5" s="11" t="s">
        <v>41</v>
      </c>
      <c r="B5" s="12" t="s">
        <v>15</v>
      </c>
      <c r="C5" s="13" t="s">
        <v>10</v>
      </c>
      <c r="D5" s="14" t="s">
        <v>11</v>
      </c>
      <c r="E5" s="15">
        <v>18000.0</v>
      </c>
      <c r="F5" s="16">
        <v>0.0</v>
      </c>
      <c r="G5" s="17">
        <f t="shared" si="1"/>
        <v>0</v>
      </c>
      <c r="H5" s="38">
        <f t="shared" si="2"/>
        <v>0</v>
      </c>
    </row>
    <row r="6">
      <c r="A6" s="19" t="s">
        <v>42</v>
      </c>
      <c r="B6" s="20" t="s">
        <v>17</v>
      </c>
      <c r="C6" s="22" t="s">
        <v>18</v>
      </c>
      <c r="D6" s="7" t="s">
        <v>11</v>
      </c>
      <c r="E6" s="8">
        <v>20000.0</v>
      </c>
      <c r="F6" s="9">
        <v>10.0</v>
      </c>
      <c r="G6" s="21">
        <f t="shared" si="1"/>
        <v>200000</v>
      </c>
      <c r="H6" s="37">
        <f t="shared" si="2"/>
        <v>0.1288659794</v>
      </c>
    </row>
    <row r="7">
      <c r="A7" s="11" t="s">
        <v>43</v>
      </c>
      <c r="B7" s="12" t="s">
        <v>17</v>
      </c>
      <c r="C7" s="23" t="s">
        <v>18</v>
      </c>
      <c r="D7" s="14" t="s">
        <v>11</v>
      </c>
      <c r="E7" s="15">
        <v>20000.0</v>
      </c>
      <c r="F7" s="16">
        <v>13.0</v>
      </c>
      <c r="G7" s="17">
        <f t="shared" si="1"/>
        <v>260000</v>
      </c>
      <c r="H7" s="38">
        <f t="shared" si="2"/>
        <v>0.1675257732</v>
      </c>
    </row>
    <row r="8">
      <c r="A8" s="19" t="s">
        <v>44</v>
      </c>
      <c r="B8" s="20" t="s">
        <v>17</v>
      </c>
      <c r="C8" s="22" t="s">
        <v>18</v>
      </c>
      <c r="D8" s="7" t="s">
        <v>11</v>
      </c>
      <c r="E8" s="8">
        <v>20000.0</v>
      </c>
      <c r="F8" s="9">
        <v>9.0</v>
      </c>
      <c r="G8" s="21">
        <f t="shared" si="1"/>
        <v>180000</v>
      </c>
      <c r="H8" s="37">
        <f t="shared" si="2"/>
        <v>0.1159793814</v>
      </c>
    </row>
    <row r="9">
      <c r="A9" s="11" t="s">
        <v>45</v>
      </c>
      <c r="B9" s="12" t="s">
        <v>17</v>
      </c>
      <c r="C9" s="23" t="s">
        <v>18</v>
      </c>
      <c r="D9" s="14" t="s">
        <v>11</v>
      </c>
      <c r="E9" s="15">
        <v>20000.0</v>
      </c>
      <c r="F9" s="16">
        <v>0.0</v>
      </c>
      <c r="G9" s="17">
        <f t="shared" si="1"/>
        <v>0</v>
      </c>
      <c r="H9" s="38">
        <f t="shared" si="2"/>
        <v>0</v>
      </c>
    </row>
    <row r="10">
      <c r="A10" s="19" t="s">
        <v>46</v>
      </c>
      <c r="B10" s="20" t="s">
        <v>17</v>
      </c>
      <c r="C10" s="22" t="s">
        <v>18</v>
      </c>
      <c r="D10" s="7" t="s">
        <v>11</v>
      </c>
      <c r="E10" s="8">
        <v>20000.0</v>
      </c>
      <c r="F10" s="9">
        <v>7.0</v>
      </c>
      <c r="G10" s="21">
        <f t="shared" si="1"/>
        <v>140000</v>
      </c>
      <c r="H10" s="37">
        <f t="shared" si="2"/>
        <v>0.09020618557</v>
      </c>
    </row>
    <row r="11">
      <c r="A11" s="11" t="s">
        <v>47</v>
      </c>
      <c r="B11" s="12" t="s">
        <v>17</v>
      </c>
      <c r="C11" s="23" t="s">
        <v>18</v>
      </c>
      <c r="D11" s="14" t="s">
        <v>11</v>
      </c>
      <c r="E11" s="15">
        <v>20000.0</v>
      </c>
      <c r="F11" s="16">
        <v>8.0</v>
      </c>
      <c r="G11" s="17">
        <f t="shared" si="1"/>
        <v>160000</v>
      </c>
      <c r="H11" s="38">
        <f t="shared" si="2"/>
        <v>0.1030927835</v>
      </c>
    </row>
    <row r="12">
      <c r="A12" s="40"/>
      <c r="B12" s="41"/>
      <c r="C12" s="42"/>
      <c r="D12" s="43"/>
      <c r="E12" s="44"/>
      <c r="F12" s="34">
        <f> F2+F3+F4+F5+F6+F7+F8+F9+F10+F11</f>
        <v>81</v>
      </c>
      <c r="G12" s="35">
        <f>G2+G3+G4+G5+G6+G7+G8+G9+G10+G11</f>
        <v>1552000</v>
      </c>
      <c r="H12" s="39">
        <f>SUM(H2:H11)</f>
        <v>1</v>
      </c>
    </row>
  </sheetData>
  <dataValidations>
    <dataValidation type="custom" allowBlank="1" showDropDown="1" sqref="E2:H12">
      <formula1>AND(ISNUMBER(E2),(NOT(OR(NOT(ISERROR(DATEVALUE(E2))), AND(ISNUMBER(E2), LEFT(CELL("format", E2))="D")))))</formula1>
    </dataValidation>
    <dataValidation type="list" allowBlank="1" sqref="D2:D12">
      <formula1>"Finalizado,En proceso,Re-organizado"</formula1>
    </dataValidation>
    <dataValidation allowBlank="1" showDropDown="1" sqref="A2:B12"/>
    <dataValidation type="list" allowBlank="1" sqref="C2:C12">
      <formula1>"Scrum Master,Development Team"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7.5"/>
    <col customWidth="1" min="3" max="3" width="21.88"/>
    <col customWidth="1" min="4" max="4" width="16.5"/>
    <col customWidth="1" min="5" max="5" width="19.75"/>
    <col customWidth="1" min="6" max="6" width="16.63"/>
    <col customWidth="1" min="7" max="7" width="16.88"/>
    <col customWidth="1" min="8" max="8" width="1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19" t="s">
        <v>48</v>
      </c>
      <c r="B2" s="5" t="s">
        <v>9</v>
      </c>
      <c r="C2" s="6" t="s">
        <v>10</v>
      </c>
      <c r="D2" s="7" t="s">
        <v>11</v>
      </c>
      <c r="E2" s="8">
        <v>18000.0</v>
      </c>
      <c r="F2" s="9">
        <v>12.0</v>
      </c>
      <c r="G2" s="8">
        <f t="shared" ref="G2:G4" si="1">E2*F2</f>
        <v>216000</v>
      </c>
      <c r="H2" s="37">
        <f t="shared" ref="H2:H5" si="2">G2/$G$5</f>
        <v>0.3529411765</v>
      </c>
    </row>
    <row r="3">
      <c r="A3" s="11" t="s">
        <v>49</v>
      </c>
      <c r="B3" s="12" t="s">
        <v>9</v>
      </c>
      <c r="C3" s="13" t="s">
        <v>10</v>
      </c>
      <c r="D3" s="14" t="s">
        <v>11</v>
      </c>
      <c r="E3" s="15">
        <v>18000.0</v>
      </c>
      <c r="F3" s="16">
        <v>15.0</v>
      </c>
      <c r="G3" s="17">
        <f t="shared" si="1"/>
        <v>270000</v>
      </c>
      <c r="H3" s="38">
        <f t="shared" si="2"/>
        <v>0.4411764706</v>
      </c>
    </row>
    <row r="4">
      <c r="A4" s="19" t="s">
        <v>50</v>
      </c>
      <c r="B4" s="20" t="s">
        <v>9</v>
      </c>
      <c r="C4" s="6" t="s">
        <v>10</v>
      </c>
      <c r="D4" s="7" t="s">
        <v>11</v>
      </c>
      <c r="E4" s="8">
        <v>18000.0</v>
      </c>
      <c r="F4" s="9">
        <v>7.0</v>
      </c>
      <c r="G4" s="21">
        <f t="shared" si="1"/>
        <v>126000</v>
      </c>
      <c r="H4" s="37">
        <f t="shared" si="2"/>
        <v>0.2058823529</v>
      </c>
    </row>
    <row r="5">
      <c r="E5" s="33"/>
      <c r="F5" s="34">
        <f> F2+F3+F4</f>
        <v>34</v>
      </c>
      <c r="G5" s="35">
        <f>G2+G3+G4</f>
        <v>612000</v>
      </c>
      <c r="H5" s="39">
        <f t="shared" si="2"/>
        <v>1</v>
      </c>
    </row>
  </sheetData>
  <dataValidations>
    <dataValidation type="custom" allowBlank="1" showDropDown="1" sqref="E2:H5">
      <formula1>AND(ISNUMBER(E2),(NOT(OR(NOT(ISERROR(DATEVALUE(E2))), AND(ISNUMBER(E2), LEFT(CELL("format", E2))="D")))))</formula1>
    </dataValidation>
    <dataValidation type="list" allowBlank="1" sqref="D2:D5">
      <formula1>"Finalizado,En proceso,Re-organizado"</formula1>
    </dataValidation>
    <dataValidation allowBlank="1" showDropDown="1" sqref="A2:B5"/>
    <dataValidation type="list" allowBlank="1" sqref="C2:C5">
      <formula1>"Scrum Master,Development Team"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7.5"/>
    <col customWidth="1" min="3" max="3" width="21.88"/>
    <col customWidth="1" min="4" max="4" width="16.5"/>
    <col customWidth="1" min="5" max="5" width="19.75"/>
    <col customWidth="1" min="6" max="6" width="16.63"/>
    <col customWidth="1" min="7" max="7" width="16.88"/>
    <col customWidth="1" min="8" max="8" width="1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19" t="s">
        <v>51</v>
      </c>
      <c r="B2" s="5" t="s">
        <v>9</v>
      </c>
      <c r="C2" s="6" t="s">
        <v>10</v>
      </c>
      <c r="D2" s="7" t="s">
        <v>11</v>
      </c>
      <c r="E2" s="8">
        <v>18000.0</v>
      </c>
      <c r="F2" s="9">
        <v>12.0</v>
      </c>
      <c r="G2" s="8">
        <f t="shared" ref="G2:G6" si="1">E2*F2</f>
        <v>216000</v>
      </c>
      <c r="H2" s="37">
        <f t="shared" ref="H2:H7" si="2">G2/$G$7</f>
        <v>0.2660098522</v>
      </c>
    </row>
    <row r="3">
      <c r="A3" s="11" t="s">
        <v>52</v>
      </c>
      <c r="B3" s="12" t="s">
        <v>9</v>
      </c>
      <c r="C3" s="13" t="s">
        <v>10</v>
      </c>
      <c r="D3" s="14" t="s">
        <v>11</v>
      </c>
      <c r="E3" s="15">
        <v>18000.0</v>
      </c>
      <c r="F3" s="16">
        <v>15.0</v>
      </c>
      <c r="G3" s="17">
        <f t="shared" si="1"/>
        <v>270000</v>
      </c>
      <c r="H3" s="38">
        <f t="shared" si="2"/>
        <v>0.3325123153</v>
      </c>
    </row>
    <row r="4">
      <c r="A4" s="19" t="s">
        <v>53</v>
      </c>
      <c r="B4" s="20" t="s">
        <v>9</v>
      </c>
      <c r="C4" s="6" t="s">
        <v>10</v>
      </c>
      <c r="D4" s="7" t="s">
        <v>11</v>
      </c>
      <c r="E4" s="8">
        <v>18000.0</v>
      </c>
      <c r="F4" s="9">
        <v>7.0</v>
      </c>
      <c r="G4" s="21">
        <f t="shared" si="1"/>
        <v>126000</v>
      </c>
      <c r="H4" s="37">
        <f t="shared" si="2"/>
        <v>0.1551724138</v>
      </c>
    </row>
    <row r="5">
      <c r="A5" s="11" t="s">
        <v>54</v>
      </c>
      <c r="B5" s="12" t="s">
        <v>15</v>
      </c>
      <c r="C5" s="13" t="s">
        <v>10</v>
      </c>
      <c r="D5" s="14" t="s">
        <v>11</v>
      </c>
      <c r="E5" s="15">
        <v>18000.0</v>
      </c>
      <c r="F5" s="16">
        <v>0.0</v>
      </c>
      <c r="G5" s="17">
        <f t="shared" si="1"/>
        <v>0</v>
      </c>
      <c r="H5" s="38">
        <f t="shared" si="2"/>
        <v>0</v>
      </c>
    </row>
    <row r="6">
      <c r="A6" s="19" t="s">
        <v>55</v>
      </c>
      <c r="B6" s="20" t="s">
        <v>17</v>
      </c>
      <c r="C6" s="22" t="s">
        <v>18</v>
      </c>
      <c r="D6" s="7" t="s">
        <v>11</v>
      </c>
      <c r="E6" s="8">
        <v>20000.0</v>
      </c>
      <c r="F6" s="9">
        <v>10.0</v>
      </c>
      <c r="G6" s="21">
        <f t="shared" si="1"/>
        <v>200000</v>
      </c>
      <c r="H6" s="37">
        <f t="shared" si="2"/>
        <v>0.2463054187</v>
      </c>
    </row>
    <row r="7">
      <c r="E7" s="33"/>
      <c r="F7" s="34">
        <f> F2+F3+F4+F5+F6</f>
        <v>44</v>
      </c>
      <c r="G7" s="35">
        <f>G2+G3+G4+G5+G6</f>
        <v>812000</v>
      </c>
      <c r="H7" s="39">
        <f t="shared" si="2"/>
        <v>1</v>
      </c>
    </row>
  </sheetData>
  <dataValidations>
    <dataValidation type="custom" allowBlank="1" showDropDown="1" sqref="E2:H7">
      <formula1>AND(ISNUMBER(E2),(NOT(OR(NOT(ISERROR(DATEVALUE(E2))), AND(ISNUMBER(E2), LEFT(CELL("format", E2))="D")))))</formula1>
    </dataValidation>
    <dataValidation type="list" allowBlank="1" sqref="D2:D7">
      <formula1>"Finalizado,En proceso,Re-organizado"</formula1>
    </dataValidation>
    <dataValidation allowBlank="1" showDropDown="1" sqref="A2:B7"/>
    <dataValidation type="list" allowBlank="1" sqref="C2:C7">
      <formula1>"Scrum Master,Development Team"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7.5"/>
    <col customWidth="1" min="3" max="3" width="21.88"/>
    <col customWidth="1" min="4" max="4" width="16.5"/>
    <col customWidth="1" min="5" max="5" width="19.75"/>
    <col customWidth="1" min="6" max="6" width="16.63"/>
    <col customWidth="1" min="7" max="7" width="16.88"/>
    <col customWidth="1" min="8" max="8" width="1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19" t="s">
        <v>56</v>
      </c>
      <c r="B2" s="5" t="s">
        <v>9</v>
      </c>
      <c r="C2" s="6" t="s">
        <v>10</v>
      </c>
      <c r="D2" s="7" t="s">
        <v>11</v>
      </c>
      <c r="E2" s="8">
        <v>18000.0</v>
      </c>
      <c r="F2" s="9">
        <v>12.0</v>
      </c>
      <c r="G2" s="8">
        <f t="shared" ref="G2:G5" si="1">E2*F2</f>
        <v>216000</v>
      </c>
      <c r="H2" s="37">
        <f t="shared" ref="H2:H6" si="2">G2/$G$6</f>
        <v>0.3529411765</v>
      </c>
    </row>
    <row r="3">
      <c r="A3" s="11" t="s">
        <v>57</v>
      </c>
      <c r="B3" s="12" t="s">
        <v>9</v>
      </c>
      <c r="C3" s="13" t="s">
        <v>10</v>
      </c>
      <c r="D3" s="14" t="s">
        <v>11</v>
      </c>
      <c r="E3" s="15">
        <v>18000.0</v>
      </c>
      <c r="F3" s="16">
        <v>15.0</v>
      </c>
      <c r="G3" s="17">
        <f t="shared" si="1"/>
        <v>270000</v>
      </c>
      <c r="H3" s="38">
        <f t="shared" si="2"/>
        <v>0.4411764706</v>
      </c>
    </row>
    <row r="4">
      <c r="A4" s="19" t="s">
        <v>58</v>
      </c>
      <c r="B4" s="20" t="s">
        <v>9</v>
      </c>
      <c r="C4" s="6" t="s">
        <v>10</v>
      </c>
      <c r="D4" s="7" t="s">
        <v>11</v>
      </c>
      <c r="E4" s="8">
        <v>18000.0</v>
      </c>
      <c r="F4" s="9">
        <v>7.0</v>
      </c>
      <c r="G4" s="21">
        <f t="shared" si="1"/>
        <v>126000</v>
      </c>
      <c r="H4" s="37">
        <f t="shared" si="2"/>
        <v>0.2058823529</v>
      </c>
    </row>
    <row r="5">
      <c r="A5" s="11" t="s">
        <v>59</v>
      </c>
      <c r="B5" s="12" t="s">
        <v>15</v>
      </c>
      <c r="C5" s="13" t="s">
        <v>10</v>
      </c>
      <c r="D5" s="14" t="s">
        <v>11</v>
      </c>
      <c r="E5" s="15">
        <v>18000.0</v>
      </c>
      <c r="F5" s="16">
        <v>0.0</v>
      </c>
      <c r="G5" s="17">
        <f t="shared" si="1"/>
        <v>0</v>
      </c>
      <c r="H5" s="38">
        <f t="shared" si="2"/>
        <v>0</v>
      </c>
    </row>
    <row r="6">
      <c r="E6" s="44"/>
      <c r="F6" s="34">
        <f> F2+F3+F4+F5</f>
        <v>34</v>
      </c>
      <c r="G6" s="35">
        <f>G2+G3+G4+G5</f>
        <v>612000</v>
      </c>
      <c r="H6" s="39">
        <f t="shared" si="2"/>
        <v>1</v>
      </c>
    </row>
  </sheetData>
  <dataValidations>
    <dataValidation type="custom" allowBlank="1" showDropDown="1" sqref="E2:H6">
      <formula1>AND(ISNUMBER(E2),(NOT(OR(NOT(ISERROR(DATEVALUE(E2))), AND(ISNUMBER(E2), LEFT(CELL("format", E2))="D")))))</formula1>
    </dataValidation>
    <dataValidation type="list" allowBlank="1" sqref="D2:D6">
      <formula1>"Finalizado,En proceso,Re-organizado"</formula1>
    </dataValidation>
    <dataValidation allowBlank="1" showDropDown="1" sqref="A2:B6"/>
    <dataValidation type="list" allowBlank="1" sqref="C2:C6">
      <formula1>"Scrum Master,Development Team"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7.5"/>
    <col customWidth="1" min="3" max="3" width="21.88"/>
    <col customWidth="1" min="4" max="4" width="16.5"/>
    <col customWidth="1" min="5" max="5" width="19.75"/>
    <col customWidth="1" min="6" max="6" width="16.63"/>
    <col customWidth="1" min="7" max="7" width="16.88"/>
    <col customWidth="1" min="8" max="8" width="1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19" t="s">
        <v>60</v>
      </c>
      <c r="B2" s="5" t="s">
        <v>9</v>
      </c>
      <c r="C2" s="6" t="s">
        <v>10</v>
      </c>
      <c r="D2" s="7" t="s">
        <v>11</v>
      </c>
      <c r="E2" s="8">
        <v>18000.0</v>
      </c>
      <c r="F2" s="9">
        <v>12.0</v>
      </c>
      <c r="G2" s="8">
        <f t="shared" ref="G2:G5" si="1">E2*F2</f>
        <v>216000</v>
      </c>
      <c r="H2" s="37">
        <f t="shared" ref="H2:H6" si="2">G2/$G$6</f>
        <v>0.3529411765</v>
      </c>
    </row>
    <row r="3">
      <c r="A3" s="11" t="s">
        <v>53</v>
      </c>
      <c r="B3" s="12" t="s">
        <v>9</v>
      </c>
      <c r="C3" s="13" t="s">
        <v>10</v>
      </c>
      <c r="D3" s="14" t="s">
        <v>11</v>
      </c>
      <c r="E3" s="15">
        <v>18000.0</v>
      </c>
      <c r="F3" s="16">
        <v>15.0</v>
      </c>
      <c r="G3" s="17">
        <f t="shared" si="1"/>
        <v>270000</v>
      </c>
      <c r="H3" s="38">
        <f t="shared" si="2"/>
        <v>0.4411764706</v>
      </c>
    </row>
    <row r="4">
      <c r="A4" s="19" t="s">
        <v>61</v>
      </c>
      <c r="B4" s="20" t="s">
        <v>9</v>
      </c>
      <c r="C4" s="6" t="s">
        <v>10</v>
      </c>
      <c r="D4" s="7" t="s">
        <v>11</v>
      </c>
      <c r="E4" s="8">
        <v>18000.0</v>
      </c>
      <c r="F4" s="9">
        <v>7.0</v>
      </c>
      <c r="G4" s="21">
        <f t="shared" si="1"/>
        <v>126000</v>
      </c>
      <c r="H4" s="37">
        <f t="shared" si="2"/>
        <v>0.2058823529</v>
      </c>
    </row>
    <row r="5">
      <c r="A5" s="11" t="s">
        <v>62</v>
      </c>
      <c r="B5" s="12" t="s">
        <v>15</v>
      </c>
      <c r="C5" s="13" t="s">
        <v>10</v>
      </c>
      <c r="D5" s="14" t="s">
        <v>11</v>
      </c>
      <c r="E5" s="15">
        <v>18000.0</v>
      </c>
      <c r="F5" s="16">
        <v>0.0</v>
      </c>
      <c r="G5" s="17">
        <f t="shared" si="1"/>
        <v>0</v>
      </c>
      <c r="H5" s="38">
        <f t="shared" si="2"/>
        <v>0</v>
      </c>
    </row>
    <row r="6">
      <c r="E6" s="44"/>
      <c r="F6" s="34">
        <f> F2+F3+F4+F5</f>
        <v>34</v>
      </c>
      <c r="G6" s="35">
        <f>G2+G3+G4+G5</f>
        <v>612000</v>
      </c>
      <c r="H6" s="39">
        <f t="shared" si="2"/>
        <v>1</v>
      </c>
    </row>
  </sheetData>
  <dataValidations>
    <dataValidation type="custom" allowBlank="1" showDropDown="1" sqref="E2:H6">
      <formula1>AND(ISNUMBER(E2),(NOT(OR(NOT(ISERROR(DATEVALUE(E2))), AND(ISNUMBER(E2), LEFT(CELL("format", E2))="D")))))</formula1>
    </dataValidation>
    <dataValidation type="list" allowBlank="1" sqref="D2:D6">
      <formula1>"Finalizado,En proceso,Re-organizado"</formula1>
    </dataValidation>
    <dataValidation allowBlank="1" showDropDown="1" sqref="A2:B6"/>
    <dataValidation type="list" allowBlank="1" sqref="C2:C6">
      <formula1>"Scrum Master,Development Team"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7.5"/>
    <col customWidth="1" min="3" max="3" width="21.88"/>
    <col customWidth="1" min="4" max="4" width="16.5"/>
    <col customWidth="1" min="5" max="5" width="19.75"/>
    <col customWidth="1" min="6" max="6" width="16.63"/>
    <col customWidth="1" min="7" max="7" width="16.88"/>
    <col customWidth="1" min="8" max="8" width="1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19" t="s">
        <v>63</v>
      </c>
      <c r="B2" s="5" t="s">
        <v>9</v>
      </c>
      <c r="C2" s="6" t="s">
        <v>10</v>
      </c>
      <c r="D2" s="7" t="s">
        <v>11</v>
      </c>
      <c r="E2" s="8">
        <v>18000.0</v>
      </c>
      <c r="F2" s="9">
        <v>12.0</v>
      </c>
      <c r="G2" s="8">
        <f t="shared" ref="G2:G6" si="1">E2*F2</f>
        <v>216000</v>
      </c>
      <c r="H2" s="37">
        <f t="shared" ref="H2:H7" si="2">G2/$G$7</f>
        <v>0.2660098522</v>
      </c>
    </row>
    <row r="3">
      <c r="A3" s="11" t="s">
        <v>64</v>
      </c>
      <c r="B3" s="12" t="s">
        <v>9</v>
      </c>
      <c r="C3" s="13" t="s">
        <v>10</v>
      </c>
      <c r="D3" s="14" t="s">
        <v>11</v>
      </c>
      <c r="E3" s="15">
        <v>18000.0</v>
      </c>
      <c r="F3" s="16">
        <v>15.0</v>
      </c>
      <c r="G3" s="17">
        <f t="shared" si="1"/>
        <v>270000</v>
      </c>
      <c r="H3" s="38">
        <f t="shared" si="2"/>
        <v>0.3325123153</v>
      </c>
    </row>
    <row r="4">
      <c r="A4" s="19" t="s">
        <v>65</v>
      </c>
      <c r="B4" s="20" t="s">
        <v>9</v>
      </c>
      <c r="C4" s="6" t="s">
        <v>10</v>
      </c>
      <c r="D4" s="7" t="s">
        <v>11</v>
      </c>
      <c r="E4" s="8">
        <v>18000.0</v>
      </c>
      <c r="F4" s="9">
        <v>7.0</v>
      </c>
      <c r="G4" s="21">
        <f t="shared" si="1"/>
        <v>126000</v>
      </c>
      <c r="H4" s="37">
        <f t="shared" si="2"/>
        <v>0.1551724138</v>
      </c>
    </row>
    <row r="5">
      <c r="A5" s="11" t="s">
        <v>66</v>
      </c>
      <c r="B5" s="12" t="s">
        <v>15</v>
      </c>
      <c r="C5" s="13" t="s">
        <v>10</v>
      </c>
      <c r="D5" s="14" t="s">
        <v>11</v>
      </c>
      <c r="E5" s="15">
        <v>18000.0</v>
      </c>
      <c r="F5" s="16">
        <v>0.0</v>
      </c>
      <c r="G5" s="17">
        <f t="shared" si="1"/>
        <v>0</v>
      </c>
      <c r="H5" s="38">
        <f t="shared" si="2"/>
        <v>0</v>
      </c>
    </row>
    <row r="6">
      <c r="A6" s="19" t="s">
        <v>67</v>
      </c>
      <c r="B6" s="20" t="s">
        <v>17</v>
      </c>
      <c r="C6" s="22" t="s">
        <v>18</v>
      </c>
      <c r="D6" s="7" t="s">
        <v>11</v>
      </c>
      <c r="E6" s="8">
        <v>20000.0</v>
      </c>
      <c r="F6" s="9">
        <v>10.0</v>
      </c>
      <c r="G6" s="21">
        <f t="shared" si="1"/>
        <v>200000</v>
      </c>
      <c r="H6" s="37">
        <f t="shared" si="2"/>
        <v>0.2463054187</v>
      </c>
    </row>
    <row r="7">
      <c r="E7" s="33"/>
      <c r="F7" s="34">
        <f> F2+F3+F4+F5+F6</f>
        <v>44</v>
      </c>
      <c r="G7" s="35">
        <f>G2+G3+G4+G5+G6</f>
        <v>812000</v>
      </c>
      <c r="H7" s="39">
        <f t="shared" si="2"/>
        <v>1</v>
      </c>
    </row>
  </sheetData>
  <dataValidations>
    <dataValidation type="custom" allowBlank="1" showDropDown="1" sqref="E2:H7">
      <formula1>AND(ISNUMBER(E2),(NOT(OR(NOT(ISERROR(DATEVALUE(E2))), AND(ISNUMBER(E2), LEFT(CELL("format", E2))="D")))))</formula1>
    </dataValidation>
    <dataValidation type="list" allowBlank="1" sqref="D2:D7">
      <formula1>"Finalizado,En proceso,Re-organizado"</formula1>
    </dataValidation>
    <dataValidation allowBlank="1" showDropDown="1" sqref="A2:B7"/>
    <dataValidation type="list" allowBlank="1" sqref="C2:C7">
      <formula1>"Scrum Master,Development Team"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7.5"/>
    <col customWidth="1" min="3" max="3" width="21.88"/>
    <col customWidth="1" min="4" max="4" width="16.5"/>
    <col customWidth="1" min="5" max="5" width="19.75"/>
    <col customWidth="1" min="6" max="6" width="16.63"/>
    <col customWidth="1" min="7" max="7" width="16.88"/>
    <col customWidth="1" min="8" max="8" width="1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19" t="s">
        <v>68</v>
      </c>
      <c r="B2" s="5" t="s">
        <v>9</v>
      </c>
      <c r="C2" s="6" t="s">
        <v>10</v>
      </c>
      <c r="D2" s="7" t="s">
        <v>11</v>
      </c>
      <c r="E2" s="8">
        <v>18000.0</v>
      </c>
      <c r="F2" s="9">
        <v>12.0</v>
      </c>
      <c r="G2" s="8">
        <f t="shared" ref="G2:G12" si="1">E2*F2</f>
        <v>216000</v>
      </c>
      <c r="H2" s="37">
        <f t="shared" ref="H2:H13" si="2">G2/$G$13</f>
        <v>0.1129707113</v>
      </c>
    </row>
    <row r="3">
      <c r="A3" s="11" t="s">
        <v>69</v>
      </c>
      <c r="B3" s="12" t="s">
        <v>9</v>
      </c>
      <c r="C3" s="13" t="s">
        <v>10</v>
      </c>
      <c r="D3" s="14" t="s">
        <v>11</v>
      </c>
      <c r="E3" s="15">
        <v>18000.0</v>
      </c>
      <c r="F3" s="16">
        <v>15.0</v>
      </c>
      <c r="G3" s="17">
        <f t="shared" si="1"/>
        <v>270000</v>
      </c>
      <c r="H3" s="38">
        <f t="shared" si="2"/>
        <v>0.1412133891</v>
      </c>
    </row>
    <row r="4">
      <c r="A4" s="19" t="s">
        <v>70</v>
      </c>
      <c r="B4" s="20" t="s">
        <v>9</v>
      </c>
      <c r="C4" s="6" t="s">
        <v>10</v>
      </c>
      <c r="D4" s="7" t="s">
        <v>11</v>
      </c>
      <c r="E4" s="8">
        <v>18000.0</v>
      </c>
      <c r="F4" s="9">
        <v>7.0</v>
      </c>
      <c r="G4" s="21">
        <f t="shared" si="1"/>
        <v>126000</v>
      </c>
      <c r="H4" s="37">
        <f t="shared" si="2"/>
        <v>0.06589958159</v>
      </c>
    </row>
    <row r="5">
      <c r="A5" s="11" t="s">
        <v>71</v>
      </c>
      <c r="B5" s="12" t="s">
        <v>15</v>
      </c>
      <c r="C5" s="13" t="s">
        <v>10</v>
      </c>
      <c r="D5" s="14" t="s">
        <v>11</v>
      </c>
      <c r="E5" s="15">
        <v>18000.0</v>
      </c>
      <c r="F5" s="16">
        <v>0.0</v>
      </c>
      <c r="G5" s="17">
        <f t="shared" si="1"/>
        <v>0</v>
      </c>
      <c r="H5" s="38">
        <f t="shared" si="2"/>
        <v>0</v>
      </c>
    </row>
    <row r="6">
      <c r="A6" s="19" t="s">
        <v>72</v>
      </c>
      <c r="B6" s="20" t="s">
        <v>17</v>
      </c>
      <c r="C6" s="22" t="s">
        <v>18</v>
      </c>
      <c r="D6" s="7" t="s">
        <v>11</v>
      </c>
      <c r="E6" s="8">
        <v>20000.0</v>
      </c>
      <c r="F6" s="9">
        <v>10.0</v>
      </c>
      <c r="G6" s="21">
        <f t="shared" si="1"/>
        <v>200000</v>
      </c>
      <c r="H6" s="37">
        <f t="shared" si="2"/>
        <v>0.1046025105</v>
      </c>
    </row>
    <row r="7">
      <c r="A7" s="11" t="s">
        <v>73</v>
      </c>
      <c r="B7" s="12" t="s">
        <v>17</v>
      </c>
      <c r="C7" s="23" t="s">
        <v>18</v>
      </c>
      <c r="D7" s="14" t="s">
        <v>11</v>
      </c>
      <c r="E7" s="15">
        <v>20000.0</v>
      </c>
      <c r="F7" s="16">
        <v>13.0</v>
      </c>
      <c r="G7" s="17">
        <f t="shared" si="1"/>
        <v>260000</v>
      </c>
      <c r="H7" s="38">
        <f t="shared" si="2"/>
        <v>0.1359832636</v>
      </c>
    </row>
    <row r="8">
      <c r="A8" s="19" t="s">
        <v>74</v>
      </c>
      <c r="B8" s="20" t="s">
        <v>17</v>
      </c>
      <c r="C8" s="22" t="s">
        <v>18</v>
      </c>
      <c r="D8" s="7" t="s">
        <v>11</v>
      </c>
      <c r="E8" s="8">
        <v>20000.0</v>
      </c>
      <c r="F8" s="9">
        <v>9.0</v>
      </c>
      <c r="G8" s="21">
        <f t="shared" si="1"/>
        <v>180000</v>
      </c>
      <c r="H8" s="37">
        <f t="shared" si="2"/>
        <v>0.09414225941</v>
      </c>
    </row>
    <row r="9">
      <c r="A9" s="11" t="s">
        <v>75</v>
      </c>
      <c r="B9" s="12" t="s">
        <v>17</v>
      </c>
      <c r="C9" s="23" t="s">
        <v>18</v>
      </c>
      <c r="D9" s="14" t="s">
        <v>11</v>
      </c>
      <c r="E9" s="15">
        <v>20000.0</v>
      </c>
      <c r="F9" s="16">
        <v>0.0</v>
      </c>
      <c r="G9" s="17">
        <f t="shared" si="1"/>
        <v>0</v>
      </c>
      <c r="H9" s="38">
        <f t="shared" si="2"/>
        <v>0</v>
      </c>
    </row>
    <row r="10">
      <c r="A10" s="19" t="s">
        <v>76</v>
      </c>
      <c r="B10" s="20" t="s">
        <v>17</v>
      </c>
      <c r="C10" s="22" t="s">
        <v>18</v>
      </c>
      <c r="D10" s="7" t="s">
        <v>11</v>
      </c>
      <c r="E10" s="8">
        <v>20000.0</v>
      </c>
      <c r="F10" s="9">
        <v>7.0</v>
      </c>
      <c r="G10" s="21">
        <f t="shared" si="1"/>
        <v>140000</v>
      </c>
      <c r="H10" s="37">
        <f t="shared" si="2"/>
        <v>0.07322175732</v>
      </c>
    </row>
    <row r="11">
      <c r="A11" s="11" t="s">
        <v>77</v>
      </c>
      <c r="B11" s="12" t="s">
        <v>17</v>
      </c>
      <c r="C11" s="23" t="s">
        <v>18</v>
      </c>
      <c r="D11" s="14" t="s">
        <v>11</v>
      </c>
      <c r="E11" s="15">
        <v>20000.0</v>
      </c>
      <c r="F11" s="16">
        <v>8.0</v>
      </c>
      <c r="G11" s="17">
        <f t="shared" si="1"/>
        <v>160000</v>
      </c>
      <c r="H11" s="38">
        <f t="shared" si="2"/>
        <v>0.08368200837</v>
      </c>
    </row>
    <row r="12">
      <c r="A12" s="19" t="s">
        <v>78</v>
      </c>
      <c r="B12" s="20" t="s">
        <v>25</v>
      </c>
      <c r="C12" s="6" t="s">
        <v>10</v>
      </c>
      <c r="D12" s="7" t="s">
        <v>11</v>
      </c>
      <c r="E12" s="8">
        <v>36000.0</v>
      </c>
      <c r="F12" s="9">
        <v>10.0</v>
      </c>
      <c r="G12" s="21">
        <f t="shared" si="1"/>
        <v>360000</v>
      </c>
      <c r="H12" s="37">
        <f t="shared" si="2"/>
        <v>0.1882845188</v>
      </c>
    </row>
    <row r="13">
      <c r="E13" s="33"/>
      <c r="F13" s="34">
        <f> F2+F3+F4+F5+F6+F7+F8+F9+F10+F11+F12</f>
        <v>91</v>
      </c>
      <c r="G13" s="35">
        <f>G2+G3+G4+G5+G6+G7+G8+G9+G10+G11+G12</f>
        <v>1912000</v>
      </c>
      <c r="H13" s="39">
        <f t="shared" si="2"/>
        <v>1</v>
      </c>
    </row>
  </sheetData>
  <dataValidations>
    <dataValidation type="custom" allowBlank="1" showDropDown="1" sqref="E2:H13">
      <formula1>AND(ISNUMBER(E2),(NOT(OR(NOT(ISERROR(DATEVALUE(E2))), AND(ISNUMBER(E2), LEFT(CELL("format", E2))="D")))))</formula1>
    </dataValidation>
    <dataValidation type="list" allowBlank="1" sqref="D2:D13">
      <formula1>"Finalizado,En proceso,Re-organizado"</formula1>
    </dataValidation>
    <dataValidation allowBlank="1" showDropDown="1" sqref="A2:B13"/>
    <dataValidation type="list" allowBlank="1" sqref="C2:C13">
      <formula1>"Scrum Master,Development Team"</formula1>
    </dataValidation>
  </dataValidations>
  <drawing r:id="rId1"/>
  <tableParts count="1">
    <tablePart r:id="rId3"/>
  </tableParts>
</worksheet>
</file>