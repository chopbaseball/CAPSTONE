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Backlog" sheetId="1" r:id="rId4"/>
    <sheet state="visible" name="Instructivo" sheetId="2" r:id="rId5"/>
  </sheets>
  <definedNames/>
  <calcPr/>
  <extLst>
    <ext uri="GoogleSheetsCustomDataVersion2">
      <go:sheetsCustomData xmlns:go="http://customooxmlschemas.google.com/" r:id="rId6" roundtripDataChecksum="Q/9ehqXJ8f50+YaDJkosCA2mPCAdBKOZZac76SSUbm0="/>
    </ext>
  </extLst>
</workbook>
</file>

<file path=xl/sharedStrings.xml><?xml version="1.0" encoding="utf-8"?>
<sst xmlns="http://schemas.openxmlformats.org/spreadsheetml/2006/main" count="159" uniqueCount="74">
  <si>
    <t>Metodologías ágiles: Lista de tareas de la iteración</t>
  </si>
  <si>
    <t>(Sprint Backlog 2)</t>
  </si>
  <si>
    <t>Elaborado por: pmoinformatica.com</t>
  </si>
  <si>
    <t>Día 1</t>
  </si>
  <si>
    <t>Día 2</t>
  </si>
  <si>
    <t>Día 3</t>
  </si>
  <si>
    <t>Día 4</t>
  </si>
  <si>
    <t>Día 5</t>
  </si>
  <si>
    <t>Día 6</t>
  </si>
  <si>
    <t>Día 7</t>
  </si>
  <si>
    <t>Día 8</t>
  </si>
  <si>
    <t>Día 9</t>
  </si>
  <si>
    <t>Día 10</t>
  </si>
  <si>
    <t>Día 11</t>
  </si>
  <si>
    <t>Día 12</t>
  </si>
  <si>
    <t>Identificador (ID) de item de product backlog</t>
  </si>
  <si>
    <t>Enunciado del item de Product Backlog</t>
  </si>
  <si>
    <t>Tarea</t>
  </si>
  <si>
    <t>Dueño / Voluntario</t>
  </si>
  <si>
    <t>Estatus</t>
  </si>
  <si>
    <t>Horas estimadas totales</t>
  </si>
  <si>
    <t>Cons.</t>
  </si>
  <si>
    <t>Rest.</t>
  </si>
  <si>
    <t>E1-H2</t>
  </si>
  <si>
    <t>Como un apoderado, necesito iniciar sesión con la finalidad de acceder a la plataforma.</t>
  </si>
  <si>
    <t>Diseñar la interfaz de usuario para el inicio de sesión</t>
  </si>
  <si>
    <t>Vanessa</t>
  </si>
  <si>
    <t>Finalizado</t>
  </si>
  <si>
    <t>Implementar la funcionalidad de autenticación</t>
  </si>
  <si>
    <t>Mauricio</t>
  </si>
  <si>
    <t>Gestionar el estado de sesión</t>
  </si>
  <si>
    <t>Realizar pruebas y ajustes</t>
  </si>
  <si>
    <t>E1-H4</t>
  </si>
  <si>
    <t>Como un alumno o apoderado, necesito acceder al menú principal con la finalidad de navegar por las opciones como asistencia, notas, archivos, etc.</t>
  </si>
  <si>
    <t>Diseñar la interfaz de usuario para acceder al menú.</t>
  </si>
  <si>
    <t>Implementar la funcionalidad de acceso a los atajos necesarios.</t>
  </si>
  <si>
    <t>E1-H5</t>
  </si>
  <si>
    <t>Como un alumno o apoderado, necesito ver la asistencia del alumno con la finalidad de monitorizar la asistencia a clases.</t>
  </si>
  <si>
    <t>Diseñar la interfaz de usuario para visualizar asistencia en la móvil.</t>
  </si>
  <si>
    <t>Implementar la funcionalidad de visualización y carga de asistencia.</t>
  </si>
  <si>
    <t>Realizar pruebas de visualización.</t>
  </si>
  <si>
    <t>E4-H23</t>
  </si>
  <si>
    <t>Como un Profesor, necesito iniciar sesion con la finalidad de acceder a la plataforma.</t>
  </si>
  <si>
    <t>Alexandra</t>
  </si>
  <si>
    <t>Jonathan</t>
  </si>
  <si>
    <t>E4-H26</t>
  </si>
  <si>
    <t>Como un Alumno / Apoderado, necesito ver mi asistencia con la finalidad de estar al tanto de las asignaturas que tengo mas faltas.</t>
  </si>
  <si>
    <t>Diseñar la interfaz de usuario para visualizar asistencia en la web.</t>
  </si>
  <si>
    <t>E6-H50</t>
  </si>
  <si>
    <t>Como un Profesor/Director, necesito acceder al menu con la finalidad de acceder a la funcionalidades de la aplicación.</t>
  </si>
  <si>
    <t>Vanessa - Alexandra</t>
  </si>
  <si>
    <t>E6-H51</t>
  </si>
  <si>
    <t>Como profesor, necesito Ingresar asistencia del dia de  los estudiantes con la finalidad de mantener un registro centralizado de la asistencia de los estudiantes.</t>
  </si>
  <si>
    <t xml:space="preserve">
Diseñar la interfaz de usuario para la edición de asistencia.</t>
  </si>
  <si>
    <t xml:space="preserve">Implementar la funcionalidad para que los profesores puedan seleccionar un registro de asistencia previamente guardado.
</t>
  </si>
  <si>
    <t>Desarrollar la opción para modificar el estado de asistencia de cada estudiante (presente, ausente, tarde).</t>
  </si>
  <si>
    <t>Implementar la funcionalidad para guardar y actualizar las modificaciones en la base de datos.</t>
  </si>
  <si>
    <t>Incorporar un sistema de confirmación al modificar y guardar cambios en el registro de asistencia.</t>
  </si>
  <si>
    <t>Realizar pruebas de edición y actualización de registros de asistencia para asegurar la funcionalidad.</t>
  </si>
  <si>
    <t>Lista de tareas de la iteración (Sprint Backlog): Instructivo</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</si>
  <si>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</si>
  <si>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</si>
  <si>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</si>
  <si>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</si>
  <si>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</si>
  <si>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</si>
  <si>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</si>
  <si>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</si>
  <si>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</si>
  <si>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</si>
  <si>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Horas consumidas en la tarea en el día especificado.</t>
  </si>
  <si>
    <t>Horas que restan luego de registrarse el consumo diario. Se calcula tomando las horas que restaban el día anterior y se resta las horas consumidas en el día. Si se trata del primer día, se restan las horas del día 1 al estimado de horas totales.</t>
  </si>
  <si>
    <t>Total</t>
  </si>
  <si>
    <t>Registra la suma de todas las horas consumidas en el Sprint y las horas que restan finalmente. Las horas restantes deberían ser de cero si se logro ejecutar la tarea en su totalidad.</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</si>
</sst>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1.0"/>
      <color theme="1"/>
      <name val="Calibri"/>
    </font>
    <font>
      <b/>
      <sz val="22.0"/>
      <color theme="1"/>
      <name val="Calibri"/>
    </font>
    <font>
      <b/>
      <sz val="16.0"/>
      <color rgb="FF1F497D"/>
      <name val="Calibri"/>
    </font>
    <font>
      <sz val="11.0"/>
      <color theme="0"/>
      <name val="Calibri"/>
    </font>
    <font/>
    <font>
      <color theme="1"/>
      <name val="Calibri"/>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FFFFFF"/>
        <bgColor rgb="FFFFFFFF"/>
      </patternFill>
    </fill>
    <fill>
      <patternFill patternType="solid">
        <fgColor rgb="FFD6E3BC"/>
        <bgColor rgb="FFD6E3BC"/>
      </patternFill>
    </fill>
  </fills>
  <borders count="7">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2" numFmtId="0" xfId="0" applyAlignment="1" applyBorder="1" applyFont="1">
      <alignment readingOrder="0"/>
    </xf>
    <xf borderId="1" fillId="2" fontId="3" numFmtId="0" xfId="0" applyBorder="1" applyFont="1"/>
    <xf borderId="2" fillId="3" fontId="4" numFmtId="0" xfId="0" applyAlignment="1" applyBorder="1" applyFill="1" applyFont="1">
      <alignment horizontal="center" shrinkToFit="0" vertical="center" wrapText="1"/>
    </xf>
    <xf borderId="3" fillId="0" fontId="5" numFmtId="0" xfId="0" applyBorder="1" applyFont="1"/>
    <xf borderId="4" fillId="3" fontId="4" numFmtId="0" xfId="0" applyAlignment="1" applyBorder="1" applyFont="1">
      <alignment horizontal="center" shrinkToFit="0" vertical="center" wrapText="1"/>
    </xf>
    <xf borderId="5" fillId="3" fontId="4" numFmtId="0" xfId="0" applyAlignment="1" applyBorder="1" applyFont="1">
      <alignment horizontal="center" shrinkToFit="0" vertical="center" wrapText="1"/>
    </xf>
    <xf borderId="6" fillId="3" fontId="4" numFmtId="0" xfId="0" applyAlignment="1" applyBorder="1" applyFont="1">
      <alignment horizontal="center" shrinkToFit="0" vertical="center" wrapText="1"/>
    </xf>
    <xf borderId="5" fillId="0" fontId="1" numFmtId="0" xfId="0" applyAlignment="1" applyBorder="1" applyFont="1">
      <alignment horizontal="left" readingOrder="0" shrinkToFit="0" vertical="top" wrapText="1"/>
    </xf>
    <xf borderId="5" fillId="4" fontId="1" numFmtId="0" xfId="0" applyAlignment="1" applyBorder="1" applyFill="1" applyFont="1">
      <alignment readingOrder="0" shrinkToFit="0" vertical="top" wrapText="1"/>
    </xf>
    <xf borderId="5" fillId="2" fontId="1" numFmtId="0" xfId="0" applyAlignment="1" applyBorder="1" applyFont="1">
      <alignment horizontal="left" readingOrder="0" shrinkToFit="0" vertical="top" wrapText="1"/>
    </xf>
    <xf borderId="5" fillId="2" fontId="1" numFmtId="0" xfId="0" applyAlignment="1" applyBorder="1" applyFont="1">
      <alignment horizontal="center" readingOrder="0" shrinkToFit="0" vertical="center" wrapText="1"/>
    </xf>
    <xf borderId="5" fillId="2" fontId="1" numFmtId="0" xfId="0" applyAlignment="1" applyBorder="1" applyFont="1">
      <alignment horizontal="right" readingOrder="0" shrinkToFit="0" vertical="top" wrapText="1"/>
    </xf>
    <xf borderId="5" fillId="2" fontId="1" numFmtId="0" xfId="0" applyAlignment="1" applyBorder="1" applyFont="1">
      <alignment horizontal="right" shrinkToFit="0" vertical="top" wrapText="1"/>
    </xf>
    <xf borderId="5" fillId="5" fontId="1" numFmtId="0" xfId="0" applyAlignment="1" applyBorder="1" applyFill="1" applyFont="1">
      <alignment horizontal="right" readingOrder="0" shrinkToFit="0" vertical="top" wrapText="1"/>
    </xf>
    <xf borderId="5" fillId="5" fontId="1" numFmtId="0" xfId="0" applyAlignment="1" applyBorder="1" applyFont="1">
      <alignment horizontal="right" shrinkToFit="0" vertical="top" wrapText="1"/>
    </xf>
    <xf borderId="5" fillId="2" fontId="1" numFmtId="0" xfId="0" applyAlignment="1" applyBorder="1" applyFont="1">
      <alignment horizontal="left" shrinkToFit="0" vertical="top" wrapText="1"/>
    </xf>
    <xf borderId="5" fillId="0" fontId="6" numFmtId="0" xfId="0" applyAlignment="1" applyBorder="1" applyFont="1">
      <alignment horizontal="left" shrinkToFit="0" wrapText="1"/>
    </xf>
    <xf borderId="5" fillId="0" fontId="6" numFmtId="0" xfId="0" applyAlignment="1" applyBorder="1" applyFont="1">
      <alignment horizontal="left" readingOrder="0" shrinkToFit="0" wrapText="1"/>
    </xf>
    <xf borderId="5" fillId="0" fontId="1" numFmtId="0" xfId="0" applyAlignment="1" applyBorder="1" applyFont="1">
      <alignment readingOrder="0" shrinkToFit="0" vertical="top" wrapText="1"/>
    </xf>
    <xf borderId="5" fillId="0" fontId="1" numFmtId="0" xfId="0" applyAlignment="1" applyBorder="1" applyFont="1">
      <alignment horizontal="left" shrinkToFit="0" vertical="top" wrapText="1"/>
    </xf>
    <xf borderId="5" fillId="3"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5.0" topLeftCell="F6" activePane="bottomRight" state="frozen"/>
      <selection activeCell="F1" sqref="F1" pane="topRight"/>
      <selection activeCell="A6" sqref="A6" pane="bottomLeft"/>
      <selection activeCell="F6" sqref="F6" pane="bottomRight"/>
    </sheetView>
  </sheetViews>
  <sheetFormatPr customHeight="1" defaultColWidth="14.43" defaultRowHeight="15.0"/>
  <cols>
    <col customWidth="1" min="1" max="1" width="1.43"/>
    <col customWidth="1" min="2" max="2" width="16.43"/>
    <col customWidth="1" min="3" max="3" width="34.0"/>
    <col customWidth="1" min="4" max="4" width="20.86"/>
    <col customWidth="1" min="5" max="5" width="17.0"/>
    <col customWidth="1" min="6" max="6" width="11.86"/>
    <col customWidth="1" min="7" max="7" width="15.43"/>
    <col customWidth="1" min="8" max="8" width="5.86"/>
    <col customWidth="1" min="9" max="9" width="5.43"/>
    <col customWidth="1" min="10" max="10" width="2.71"/>
    <col customWidth="1" min="11" max="11" width="5.86"/>
    <col customWidth="1" min="12" max="12" width="5.43"/>
    <col customWidth="1" min="13" max="13" width="2.71"/>
    <col customWidth="1" min="14" max="14" width="5.86"/>
    <col customWidth="1" min="15" max="15" width="5.43"/>
    <col customWidth="1" min="16" max="16" width="2.71"/>
    <col customWidth="1" min="17" max="17" width="5.86"/>
    <col customWidth="1" min="18" max="18" width="5.43"/>
    <col customWidth="1" min="19" max="19" width="2.71"/>
    <col customWidth="1" min="20" max="20" width="5.86"/>
    <col customWidth="1" min="21" max="21" width="5.43"/>
    <col customWidth="1" min="22" max="22" width="2.71"/>
    <col customWidth="1" min="23" max="23" width="5.86"/>
    <col customWidth="1" min="24" max="24" width="5.43"/>
    <col customWidth="1" min="25" max="25" width="2.71"/>
    <col customWidth="1" min="26" max="26" width="5.86"/>
    <col customWidth="1" min="27" max="27" width="5.43"/>
    <col customWidth="1" min="28" max="28" width="2.71"/>
    <col customWidth="1" min="29" max="29" width="5.86"/>
    <col customWidth="1" min="30" max="30" width="5.43"/>
    <col customWidth="1" min="31" max="31" width="2.71"/>
    <col customWidth="1" min="32" max="32" width="5.86"/>
    <col customWidth="1" min="33" max="33" width="5.43"/>
    <col customWidth="1" min="34" max="34" width="2.71"/>
    <col customWidth="1" min="35" max="35" width="5.86"/>
    <col customWidth="1" min="36" max="36" width="5.43"/>
    <col customWidth="1" min="37" max="37" width="2.71"/>
    <col customWidth="1" min="38" max="38" width="5.86"/>
    <col customWidth="1" min="39" max="39" width="5.43"/>
    <col customWidth="1" min="40" max="40" width="2.71"/>
    <col customWidth="1" min="41" max="41" width="5.86"/>
    <col customWidth="1" min="42" max="42" width="5.43"/>
  </cols>
  <sheetData>
    <row r="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row>
    <row r="2">
      <c r="A2" s="1"/>
      <c r="B2" s="3"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row>
    <row r="3">
      <c r="A3" s="1"/>
      <c r="B3" s="4"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row>
    <row r="4">
      <c r="A4" s="1"/>
      <c r="B4" s="1"/>
      <c r="C4" s="1"/>
      <c r="D4" s="1"/>
      <c r="E4" s="1"/>
      <c r="F4" s="1"/>
      <c r="G4" s="1"/>
      <c r="H4" s="5" t="s">
        <v>3</v>
      </c>
      <c r="I4" s="6"/>
      <c r="J4" s="7"/>
      <c r="K4" s="5" t="s">
        <v>4</v>
      </c>
      <c r="L4" s="6"/>
      <c r="M4" s="7"/>
      <c r="N4" s="5" t="s">
        <v>5</v>
      </c>
      <c r="O4" s="6"/>
      <c r="P4" s="7"/>
      <c r="Q4" s="5" t="s">
        <v>6</v>
      </c>
      <c r="R4" s="6"/>
      <c r="S4" s="7"/>
      <c r="T4" s="5" t="s">
        <v>7</v>
      </c>
      <c r="U4" s="6"/>
      <c r="V4" s="7"/>
      <c r="W4" s="5" t="s">
        <v>8</v>
      </c>
      <c r="X4" s="6"/>
      <c r="Y4" s="7"/>
      <c r="Z4" s="5" t="s">
        <v>9</v>
      </c>
      <c r="AA4" s="6"/>
      <c r="AB4" s="7"/>
      <c r="AC4" s="5" t="s">
        <v>10</v>
      </c>
      <c r="AD4" s="6"/>
      <c r="AE4" s="7"/>
      <c r="AF4" s="5" t="s">
        <v>11</v>
      </c>
      <c r="AG4" s="6"/>
      <c r="AH4" s="7"/>
      <c r="AI4" s="5" t="s">
        <v>12</v>
      </c>
      <c r="AJ4" s="6"/>
      <c r="AK4" s="7"/>
      <c r="AL4" s="5" t="s">
        <v>13</v>
      </c>
      <c r="AM4" s="6"/>
      <c r="AN4" s="7"/>
      <c r="AO4" s="5" t="s">
        <v>14</v>
      </c>
      <c r="AP4" s="6"/>
    </row>
    <row r="5">
      <c r="A5" s="1"/>
      <c r="B5" s="8" t="s">
        <v>15</v>
      </c>
      <c r="C5" s="8" t="s">
        <v>16</v>
      </c>
      <c r="D5" s="8" t="s">
        <v>17</v>
      </c>
      <c r="E5" s="8" t="s">
        <v>18</v>
      </c>
      <c r="F5" s="8" t="s">
        <v>19</v>
      </c>
      <c r="G5" s="8" t="s">
        <v>20</v>
      </c>
      <c r="H5" s="9" t="s">
        <v>21</v>
      </c>
      <c r="I5" s="9" t="s">
        <v>22</v>
      </c>
      <c r="J5" s="9"/>
      <c r="K5" s="9" t="s">
        <v>21</v>
      </c>
      <c r="L5" s="9" t="s">
        <v>22</v>
      </c>
      <c r="M5" s="9"/>
      <c r="N5" s="9" t="s">
        <v>21</v>
      </c>
      <c r="O5" s="9" t="s">
        <v>22</v>
      </c>
      <c r="P5" s="9"/>
      <c r="Q5" s="9" t="s">
        <v>21</v>
      </c>
      <c r="R5" s="9" t="s">
        <v>22</v>
      </c>
      <c r="S5" s="9"/>
      <c r="T5" s="9" t="s">
        <v>21</v>
      </c>
      <c r="U5" s="9" t="s">
        <v>22</v>
      </c>
      <c r="V5" s="9"/>
      <c r="W5" s="9" t="s">
        <v>21</v>
      </c>
      <c r="X5" s="9" t="s">
        <v>22</v>
      </c>
      <c r="Y5" s="9"/>
      <c r="Z5" s="9" t="s">
        <v>21</v>
      </c>
      <c r="AA5" s="9" t="s">
        <v>22</v>
      </c>
      <c r="AB5" s="9"/>
      <c r="AC5" s="9" t="s">
        <v>21</v>
      </c>
      <c r="AD5" s="9" t="s">
        <v>22</v>
      </c>
      <c r="AE5" s="9"/>
      <c r="AF5" s="9" t="s">
        <v>21</v>
      </c>
      <c r="AG5" s="9" t="s">
        <v>22</v>
      </c>
      <c r="AH5" s="9"/>
      <c r="AI5" s="9" t="s">
        <v>21</v>
      </c>
      <c r="AJ5" s="9" t="s">
        <v>22</v>
      </c>
      <c r="AK5" s="9"/>
      <c r="AL5" s="9" t="s">
        <v>21</v>
      </c>
      <c r="AM5" s="9" t="s">
        <v>22</v>
      </c>
      <c r="AN5" s="9"/>
      <c r="AO5" s="9" t="s">
        <v>21</v>
      </c>
      <c r="AP5" s="9" t="s">
        <v>22</v>
      </c>
    </row>
    <row r="6">
      <c r="A6" s="1"/>
      <c r="B6" s="10" t="s">
        <v>23</v>
      </c>
      <c r="C6" s="11" t="s">
        <v>24</v>
      </c>
      <c r="D6" s="12" t="s">
        <v>25</v>
      </c>
      <c r="E6" s="12" t="s">
        <v>26</v>
      </c>
      <c r="F6" s="12" t="s">
        <v>27</v>
      </c>
      <c r="G6" s="13">
        <v>8.0</v>
      </c>
      <c r="H6" s="14">
        <v>5.0</v>
      </c>
      <c r="I6" s="15">
        <f t="shared" ref="I6:I31" si="1">G6-H6</f>
        <v>3</v>
      </c>
      <c r="J6" s="16"/>
      <c r="K6" s="14">
        <v>0.0</v>
      </c>
      <c r="L6" s="15">
        <f t="shared" ref="L6:L31" si="2">I6-K6</f>
        <v>3</v>
      </c>
      <c r="M6" s="16"/>
      <c r="N6" s="14">
        <v>0.0</v>
      </c>
      <c r="O6" s="15">
        <f t="shared" ref="O6:O31" si="3">L6-N6</f>
        <v>3</v>
      </c>
      <c r="P6" s="17"/>
      <c r="Q6" s="14">
        <v>0.0</v>
      </c>
      <c r="R6" s="15">
        <f t="shared" ref="R6:R31" si="4">O6-Q6</f>
        <v>3</v>
      </c>
      <c r="S6" s="17"/>
      <c r="T6" s="14">
        <v>0.0</v>
      </c>
      <c r="U6" s="15">
        <f t="shared" ref="U6:U31" si="5">R6-T6</f>
        <v>3</v>
      </c>
      <c r="V6" s="17"/>
      <c r="W6" s="14">
        <v>0.0</v>
      </c>
      <c r="X6" s="15">
        <f t="shared" ref="X6:X31" si="6">U6-W6</f>
        <v>3</v>
      </c>
      <c r="Y6" s="17"/>
      <c r="Z6" s="14">
        <v>0.0</v>
      </c>
      <c r="AA6" s="15">
        <f t="shared" ref="AA6:AA19" si="7">X6-Z6</f>
        <v>3</v>
      </c>
      <c r="AB6" s="17"/>
      <c r="AC6" s="14">
        <v>0.0</v>
      </c>
      <c r="AD6" s="15">
        <f t="shared" ref="AD6:AD31" si="8">AA6-AC6</f>
        <v>3</v>
      </c>
      <c r="AE6" s="17"/>
      <c r="AF6" s="14">
        <v>0.0</v>
      </c>
      <c r="AG6" s="15">
        <f t="shared" ref="AG6:AG16" si="9">AD6-AF6</f>
        <v>3</v>
      </c>
      <c r="AH6" s="17"/>
      <c r="AI6" s="14">
        <v>0.0</v>
      </c>
      <c r="AJ6" s="15">
        <f t="shared" ref="AJ6:AJ31" si="10">AG6-AI6</f>
        <v>3</v>
      </c>
      <c r="AK6" s="17"/>
      <c r="AL6" s="14">
        <v>0.0</v>
      </c>
      <c r="AM6" s="15">
        <f t="shared" ref="AM6:AM31" si="11">AJ6-AL6</f>
        <v>3</v>
      </c>
      <c r="AN6" s="17"/>
      <c r="AO6" s="14">
        <v>0.0</v>
      </c>
      <c r="AP6" s="15">
        <f t="shared" ref="AP6:AP31" si="12">AM6-AO6</f>
        <v>3</v>
      </c>
    </row>
    <row r="7">
      <c r="A7" s="1"/>
      <c r="B7" s="18"/>
      <c r="C7" s="18"/>
      <c r="D7" s="12" t="s">
        <v>28</v>
      </c>
      <c r="E7" s="12" t="s">
        <v>29</v>
      </c>
      <c r="F7" s="12" t="s">
        <v>27</v>
      </c>
      <c r="G7" s="13">
        <v>16.0</v>
      </c>
      <c r="H7" s="14">
        <v>6.0</v>
      </c>
      <c r="I7" s="15">
        <f t="shared" si="1"/>
        <v>10</v>
      </c>
      <c r="J7" s="17"/>
      <c r="K7" s="14">
        <v>3.0</v>
      </c>
      <c r="L7" s="15">
        <f t="shared" si="2"/>
        <v>7</v>
      </c>
      <c r="M7" s="17"/>
      <c r="N7" s="14">
        <v>0.0</v>
      </c>
      <c r="O7" s="15">
        <f t="shared" si="3"/>
        <v>7</v>
      </c>
      <c r="P7" s="17"/>
      <c r="Q7" s="14">
        <v>0.0</v>
      </c>
      <c r="R7" s="15">
        <f t="shared" si="4"/>
        <v>7</v>
      </c>
      <c r="S7" s="17"/>
      <c r="T7" s="14">
        <v>0.0</v>
      </c>
      <c r="U7" s="15">
        <f t="shared" si="5"/>
        <v>7</v>
      </c>
      <c r="V7" s="17"/>
      <c r="W7" s="14">
        <v>0.0</v>
      </c>
      <c r="X7" s="15">
        <f t="shared" si="6"/>
        <v>7</v>
      </c>
      <c r="Y7" s="17"/>
      <c r="Z7" s="14">
        <v>0.0</v>
      </c>
      <c r="AA7" s="15">
        <f t="shared" si="7"/>
        <v>7</v>
      </c>
      <c r="AB7" s="17"/>
      <c r="AC7" s="14">
        <v>0.0</v>
      </c>
      <c r="AD7" s="15">
        <f t="shared" si="8"/>
        <v>7</v>
      </c>
      <c r="AE7" s="17"/>
      <c r="AF7" s="14">
        <v>0.0</v>
      </c>
      <c r="AG7" s="15">
        <f t="shared" si="9"/>
        <v>7</v>
      </c>
      <c r="AH7" s="17"/>
      <c r="AI7" s="14">
        <v>0.0</v>
      </c>
      <c r="AJ7" s="15">
        <f t="shared" si="10"/>
        <v>7</v>
      </c>
      <c r="AK7" s="17"/>
      <c r="AL7" s="14">
        <v>0.0</v>
      </c>
      <c r="AM7" s="15">
        <f t="shared" si="11"/>
        <v>7</v>
      </c>
      <c r="AN7" s="17"/>
      <c r="AO7" s="14">
        <v>0.0</v>
      </c>
      <c r="AP7" s="15">
        <f t="shared" si="12"/>
        <v>7</v>
      </c>
    </row>
    <row r="8">
      <c r="A8" s="1"/>
      <c r="B8" s="18"/>
      <c r="C8" s="18"/>
      <c r="D8" s="12" t="s">
        <v>30</v>
      </c>
      <c r="E8" s="12" t="s">
        <v>29</v>
      </c>
      <c r="F8" s="12" t="s">
        <v>27</v>
      </c>
      <c r="G8" s="13">
        <v>12.0</v>
      </c>
      <c r="H8" s="14">
        <v>0.0</v>
      </c>
      <c r="I8" s="15">
        <f t="shared" si="1"/>
        <v>12</v>
      </c>
      <c r="J8" s="17"/>
      <c r="K8" s="14">
        <v>7.0</v>
      </c>
      <c r="L8" s="15">
        <f t="shared" si="2"/>
        <v>5</v>
      </c>
      <c r="M8" s="17"/>
      <c r="N8" s="14">
        <v>0.0</v>
      </c>
      <c r="O8" s="15">
        <f t="shared" si="3"/>
        <v>5</v>
      </c>
      <c r="P8" s="17"/>
      <c r="Q8" s="14">
        <v>0.0</v>
      </c>
      <c r="R8" s="15">
        <f t="shared" si="4"/>
        <v>5</v>
      </c>
      <c r="S8" s="17"/>
      <c r="T8" s="14">
        <v>0.0</v>
      </c>
      <c r="U8" s="14">
        <f t="shared" si="5"/>
        <v>5</v>
      </c>
      <c r="V8" s="17"/>
      <c r="W8" s="14">
        <v>0.0</v>
      </c>
      <c r="X8" s="15">
        <f t="shared" si="6"/>
        <v>5</v>
      </c>
      <c r="Y8" s="17"/>
      <c r="Z8" s="14">
        <v>0.0</v>
      </c>
      <c r="AA8" s="15">
        <f t="shared" si="7"/>
        <v>5</v>
      </c>
      <c r="AB8" s="17"/>
      <c r="AC8" s="14">
        <v>0.0</v>
      </c>
      <c r="AD8" s="15">
        <f t="shared" si="8"/>
        <v>5</v>
      </c>
      <c r="AE8" s="17"/>
      <c r="AF8" s="14">
        <v>0.0</v>
      </c>
      <c r="AG8" s="14">
        <f t="shared" si="9"/>
        <v>5</v>
      </c>
      <c r="AH8" s="17"/>
      <c r="AI8" s="14">
        <v>0.0</v>
      </c>
      <c r="AJ8" s="15">
        <f t="shared" si="10"/>
        <v>5</v>
      </c>
      <c r="AK8" s="17"/>
      <c r="AL8" s="14">
        <v>0.0</v>
      </c>
      <c r="AM8" s="15">
        <f t="shared" si="11"/>
        <v>5</v>
      </c>
      <c r="AN8" s="17"/>
      <c r="AO8" s="14">
        <v>0.0</v>
      </c>
      <c r="AP8" s="15">
        <f t="shared" si="12"/>
        <v>5</v>
      </c>
    </row>
    <row r="9">
      <c r="A9" s="1"/>
      <c r="B9" s="18"/>
      <c r="C9" s="18"/>
      <c r="D9" s="12" t="s">
        <v>31</v>
      </c>
      <c r="E9" s="12" t="s">
        <v>26</v>
      </c>
      <c r="F9" s="12" t="s">
        <v>27</v>
      </c>
      <c r="G9" s="13">
        <v>8.0</v>
      </c>
      <c r="H9" s="14">
        <v>0.0</v>
      </c>
      <c r="I9" s="15">
        <f t="shared" si="1"/>
        <v>8</v>
      </c>
      <c r="J9" s="16"/>
      <c r="K9" s="14">
        <v>2.0</v>
      </c>
      <c r="L9" s="15">
        <f t="shared" si="2"/>
        <v>6</v>
      </c>
      <c r="M9" s="17"/>
      <c r="N9" s="14">
        <v>3.0</v>
      </c>
      <c r="O9" s="15">
        <f t="shared" si="3"/>
        <v>3</v>
      </c>
      <c r="P9" s="17"/>
      <c r="Q9" s="14">
        <v>0.0</v>
      </c>
      <c r="R9" s="15">
        <f t="shared" si="4"/>
        <v>3</v>
      </c>
      <c r="S9" s="17"/>
      <c r="T9" s="14">
        <v>0.0</v>
      </c>
      <c r="U9" s="15">
        <f t="shared" si="5"/>
        <v>3</v>
      </c>
      <c r="V9" s="17"/>
      <c r="W9" s="14">
        <v>0.0</v>
      </c>
      <c r="X9" s="15">
        <f t="shared" si="6"/>
        <v>3</v>
      </c>
      <c r="Y9" s="17"/>
      <c r="Z9" s="14">
        <v>0.0</v>
      </c>
      <c r="AA9" s="15">
        <f t="shared" si="7"/>
        <v>3</v>
      </c>
      <c r="AB9" s="17"/>
      <c r="AC9" s="14">
        <v>0.0</v>
      </c>
      <c r="AD9" s="15">
        <f t="shared" si="8"/>
        <v>3</v>
      </c>
      <c r="AE9" s="17"/>
      <c r="AF9" s="14">
        <v>0.0</v>
      </c>
      <c r="AG9" s="15">
        <f t="shared" si="9"/>
        <v>3</v>
      </c>
      <c r="AH9" s="17"/>
      <c r="AI9" s="14">
        <v>0.0</v>
      </c>
      <c r="AJ9" s="15">
        <f t="shared" si="10"/>
        <v>3</v>
      </c>
      <c r="AK9" s="17"/>
      <c r="AL9" s="14">
        <v>0.0</v>
      </c>
      <c r="AM9" s="15">
        <f t="shared" si="11"/>
        <v>3</v>
      </c>
      <c r="AN9" s="17"/>
      <c r="AO9" s="14">
        <v>0.0</v>
      </c>
      <c r="AP9" s="15">
        <f t="shared" si="12"/>
        <v>3</v>
      </c>
    </row>
    <row r="10">
      <c r="A10" s="1"/>
      <c r="B10" s="12" t="s">
        <v>32</v>
      </c>
      <c r="C10" s="11" t="s">
        <v>33</v>
      </c>
      <c r="D10" s="12" t="s">
        <v>34</v>
      </c>
      <c r="E10" s="12" t="s">
        <v>26</v>
      </c>
      <c r="F10" s="12" t="s">
        <v>27</v>
      </c>
      <c r="G10" s="13">
        <v>8.0</v>
      </c>
      <c r="H10" s="14">
        <v>0.0</v>
      </c>
      <c r="I10" s="15">
        <f t="shared" si="1"/>
        <v>8</v>
      </c>
      <c r="J10" s="17"/>
      <c r="K10" s="14">
        <v>0.0</v>
      </c>
      <c r="L10" s="15">
        <f t="shared" si="2"/>
        <v>8</v>
      </c>
      <c r="M10" s="17"/>
      <c r="N10" s="14">
        <v>0.0</v>
      </c>
      <c r="O10" s="15">
        <f t="shared" si="3"/>
        <v>8</v>
      </c>
      <c r="P10" s="17"/>
      <c r="Q10" s="14">
        <v>6.0</v>
      </c>
      <c r="R10" s="15">
        <f t="shared" si="4"/>
        <v>2</v>
      </c>
      <c r="S10" s="17"/>
      <c r="T10" s="14">
        <v>0.0</v>
      </c>
      <c r="U10" s="15">
        <f t="shared" si="5"/>
        <v>2</v>
      </c>
      <c r="V10" s="17"/>
      <c r="W10" s="14">
        <v>0.0</v>
      </c>
      <c r="X10" s="15">
        <f t="shared" si="6"/>
        <v>2</v>
      </c>
      <c r="Y10" s="17"/>
      <c r="Z10" s="14">
        <v>0.0</v>
      </c>
      <c r="AA10" s="15">
        <f t="shared" si="7"/>
        <v>2</v>
      </c>
      <c r="AB10" s="17"/>
      <c r="AC10" s="14">
        <v>0.0</v>
      </c>
      <c r="AD10" s="15">
        <f t="shared" si="8"/>
        <v>2</v>
      </c>
      <c r="AE10" s="17"/>
      <c r="AF10" s="14">
        <v>0.0</v>
      </c>
      <c r="AG10" s="15">
        <f t="shared" si="9"/>
        <v>2</v>
      </c>
      <c r="AH10" s="17"/>
      <c r="AI10" s="14">
        <v>0.0</v>
      </c>
      <c r="AJ10" s="15">
        <f t="shared" si="10"/>
        <v>2</v>
      </c>
      <c r="AK10" s="17"/>
      <c r="AL10" s="14">
        <v>0.0</v>
      </c>
      <c r="AM10" s="15">
        <f t="shared" si="11"/>
        <v>2</v>
      </c>
      <c r="AN10" s="17"/>
      <c r="AO10" s="14">
        <v>0.0</v>
      </c>
      <c r="AP10" s="15">
        <f t="shared" si="12"/>
        <v>2</v>
      </c>
    </row>
    <row r="11">
      <c r="A11" s="1"/>
      <c r="B11" s="18"/>
      <c r="C11" s="18"/>
      <c r="D11" s="12" t="s">
        <v>35</v>
      </c>
      <c r="E11" s="12" t="s">
        <v>26</v>
      </c>
      <c r="F11" s="12" t="s">
        <v>27</v>
      </c>
      <c r="G11" s="13">
        <v>12.0</v>
      </c>
      <c r="H11" s="14">
        <v>0.0</v>
      </c>
      <c r="I11" s="15">
        <f t="shared" si="1"/>
        <v>12</v>
      </c>
      <c r="J11" s="17"/>
      <c r="K11" s="14">
        <v>0.0</v>
      </c>
      <c r="L11" s="15">
        <f t="shared" si="2"/>
        <v>12</v>
      </c>
      <c r="M11" s="17"/>
      <c r="N11" s="14">
        <v>0.0</v>
      </c>
      <c r="O11" s="15">
        <f t="shared" si="3"/>
        <v>12</v>
      </c>
      <c r="P11" s="17"/>
      <c r="Q11" s="14">
        <v>8.0</v>
      </c>
      <c r="R11" s="15">
        <f t="shared" si="4"/>
        <v>4</v>
      </c>
      <c r="S11" s="17"/>
      <c r="T11" s="14">
        <v>4.0</v>
      </c>
      <c r="U11" s="15">
        <f t="shared" si="5"/>
        <v>0</v>
      </c>
      <c r="V11" s="17"/>
      <c r="W11" s="14">
        <v>0.0</v>
      </c>
      <c r="X11" s="15">
        <f t="shared" si="6"/>
        <v>0</v>
      </c>
      <c r="Y11" s="17"/>
      <c r="Z11" s="14">
        <v>0.0</v>
      </c>
      <c r="AA11" s="15">
        <f t="shared" si="7"/>
        <v>0</v>
      </c>
      <c r="AB11" s="17"/>
      <c r="AC11" s="14">
        <v>0.0</v>
      </c>
      <c r="AD11" s="15">
        <f t="shared" si="8"/>
        <v>0</v>
      </c>
      <c r="AE11" s="17"/>
      <c r="AF11" s="14">
        <v>0.0</v>
      </c>
      <c r="AG11" s="15">
        <f t="shared" si="9"/>
        <v>0</v>
      </c>
      <c r="AH11" s="17"/>
      <c r="AI11" s="14">
        <v>0.0</v>
      </c>
      <c r="AJ11" s="15">
        <f t="shared" si="10"/>
        <v>0</v>
      </c>
      <c r="AK11" s="17"/>
      <c r="AL11" s="14">
        <v>0.0</v>
      </c>
      <c r="AM11" s="15">
        <f t="shared" si="11"/>
        <v>0</v>
      </c>
      <c r="AN11" s="17"/>
      <c r="AO11" s="14">
        <v>0.0</v>
      </c>
      <c r="AP11" s="15">
        <f t="shared" si="12"/>
        <v>0</v>
      </c>
    </row>
    <row r="12">
      <c r="A12" s="1"/>
      <c r="B12" s="18"/>
      <c r="C12" s="18"/>
      <c r="D12" s="12" t="s">
        <v>31</v>
      </c>
      <c r="E12" s="12" t="s">
        <v>26</v>
      </c>
      <c r="F12" s="12" t="s">
        <v>27</v>
      </c>
      <c r="G12" s="13">
        <v>8.0</v>
      </c>
      <c r="H12" s="14">
        <v>0.0</v>
      </c>
      <c r="I12" s="15">
        <f t="shared" si="1"/>
        <v>8</v>
      </c>
      <c r="J12" s="17"/>
      <c r="K12" s="14">
        <v>0.0</v>
      </c>
      <c r="L12" s="15">
        <f t="shared" si="2"/>
        <v>8</v>
      </c>
      <c r="M12" s="17"/>
      <c r="N12" s="14">
        <v>0.0</v>
      </c>
      <c r="O12" s="15">
        <f t="shared" si="3"/>
        <v>8</v>
      </c>
      <c r="P12" s="17"/>
      <c r="Q12" s="14">
        <v>0.0</v>
      </c>
      <c r="R12" s="15">
        <f t="shared" si="4"/>
        <v>8</v>
      </c>
      <c r="S12" s="17"/>
      <c r="T12" s="14">
        <v>0.0</v>
      </c>
      <c r="U12" s="15">
        <f t="shared" si="5"/>
        <v>8</v>
      </c>
      <c r="V12" s="17"/>
      <c r="W12" s="14">
        <v>8.0</v>
      </c>
      <c r="X12" s="15">
        <f t="shared" si="6"/>
        <v>0</v>
      </c>
      <c r="Y12" s="17"/>
      <c r="Z12" s="14">
        <v>0.0</v>
      </c>
      <c r="AA12" s="15">
        <f t="shared" si="7"/>
        <v>0</v>
      </c>
      <c r="AB12" s="17"/>
      <c r="AC12" s="14">
        <v>0.0</v>
      </c>
      <c r="AD12" s="15">
        <f t="shared" si="8"/>
        <v>0</v>
      </c>
      <c r="AE12" s="17"/>
      <c r="AF12" s="14">
        <v>0.0</v>
      </c>
      <c r="AG12" s="15">
        <f t="shared" si="9"/>
        <v>0</v>
      </c>
      <c r="AH12" s="17"/>
      <c r="AI12" s="14">
        <v>0.0</v>
      </c>
      <c r="AJ12" s="15">
        <f t="shared" si="10"/>
        <v>0</v>
      </c>
      <c r="AK12" s="17"/>
      <c r="AL12" s="14">
        <v>0.0</v>
      </c>
      <c r="AM12" s="15">
        <f t="shared" si="11"/>
        <v>0</v>
      </c>
      <c r="AN12" s="17"/>
      <c r="AO12" s="14">
        <v>0.0</v>
      </c>
      <c r="AP12" s="15">
        <f t="shared" si="12"/>
        <v>0</v>
      </c>
    </row>
    <row r="13">
      <c r="A13" s="1"/>
      <c r="B13" s="12" t="s">
        <v>36</v>
      </c>
      <c r="C13" s="12" t="s">
        <v>37</v>
      </c>
      <c r="D13" s="12" t="s">
        <v>38</v>
      </c>
      <c r="E13" s="12" t="s">
        <v>26</v>
      </c>
      <c r="F13" s="12" t="s">
        <v>27</v>
      </c>
      <c r="G13" s="13">
        <v>8.0</v>
      </c>
      <c r="H13" s="14">
        <v>0.0</v>
      </c>
      <c r="I13" s="15">
        <f t="shared" si="1"/>
        <v>8</v>
      </c>
      <c r="J13" s="17"/>
      <c r="K13" s="14">
        <v>0.0</v>
      </c>
      <c r="L13" s="15">
        <f t="shared" si="2"/>
        <v>8</v>
      </c>
      <c r="M13" s="17"/>
      <c r="N13" s="14">
        <v>0.0</v>
      </c>
      <c r="O13" s="15">
        <f t="shared" si="3"/>
        <v>8</v>
      </c>
      <c r="P13" s="17"/>
      <c r="Q13" s="14">
        <v>0.0</v>
      </c>
      <c r="R13" s="15">
        <f t="shared" si="4"/>
        <v>8</v>
      </c>
      <c r="S13" s="17"/>
      <c r="T13" s="14">
        <v>0.0</v>
      </c>
      <c r="U13" s="15">
        <f t="shared" si="5"/>
        <v>8</v>
      </c>
      <c r="V13" s="17"/>
      <c r="W13" s="14">
        <v>0.0</v>
      </c>
      <c r="X13" s="15">
        <f t="shared" si="6"/>
        <v>8</v>
      </c>
      <c r="Y13" s="17"/>
      <c r="Z13" s="14">
        <v>6.0</v>
      </c>
      <c r="AA13" s="15">
        <f t="shared" si="7"/>
        <v>2</v>
      </c>
      <c r="AB13" s="17"/>
      <c r="AC13" s="14">
        <v>0.0</v>
      </c>
      <c r="AD13" s="15">
        <f t="shared" si="8"/>
        <v>2</v>
      </c>
      <c r="AE13" s="17"/>
      <c r="AF13" s="14">
        <v>0.0</v>
      </c>
      <c r="AG13" s="15">
        <f t="shared" si="9"/>
        <v>2</v>
      </c>
      <c r="AH13" s="17"/>
      <c r="AI13" s="14">
        <v>0.0</v>
      </c>
      <c r="AJ13" s="15">
        <f t="shared" si="10"/>
        <v>2</v>
      </c>
      <c r="AK13" s="17"/>
      <c r="AL13" s="14">
        <v>0.0</v>
      </c>
      <c r="AM13" s="15">
        <f t="shared" si="11"/>
        <v>2</v>
      </c>
      <c r="AN13" s="17"/>
      <c r="AO13" s="14">
        <v>0.0</v>
      </c>
      <c r="AP13" s="15">
        <f t="shared" si="12"/>
        <v>2</v>
      </c>
    </row>
    <row r="14">
      <c r="A14" s="1"/>
      <c r="B14" s="18"/>
      <c r="C14" s="18"/>
      <c r="D14" s="12" t="s">
        <v>39</v>
      </c>
      <c r="E14" s="12" t="s">
        <v>29</v>
      </c>
      <c r="F14" s="12" t="s">
        <v>27</v>
      </c>
      <c r="G14" s="13">
        <v>16.0</v>
      </c>
      <c r="H14" s="14">
        <v>0.0</v>
      </c>
      <c r="I14" s="15">
        <f t="shared" si="1"/>
        <v>16</v>
      </c>
      <c r="J14" s="17"/>
      <c r="K14" s="14">
        <v>0.0</v>
      </c>
      <c r="L14" s="15">
        <f t="shared" si="2"/>
        <v>16</v>
      </c>
      <c r="M14" s="17"/>
      <c r="N14" s="14">
        <v>0.0</v>
      </c>
      <c r="O14" s="15">
        <f t="shared" si="3"/>
        <v>16</v>
      </c>
      <c r="P14" s="17"/>
      <c r="Q14" s="14">
        <v>0.0</v>
      </c>
      <c r="R14" s="15">
        <f t="shared" si="4"/>
        <v>16</v>
      </c>
      <c r="S14" s="17"/>
      <c r="T14" s="14">
        <v>0.0</v>
      </c>
      <c r="U14" s="15">
        <f t="shared" si="5"/>
        <v>16</v>
      </c>
      <c r="V14" s="17"/>
      <c r="W14" s="14">
        <v>0.0</v>
      </c>
      <c r="X14" s="15">
        <f t="shared" si="6"/>
        <v>16</v>
      </c>
      <c r="Y14" s="17"/>
      <c r="Z14" s="14">
        <v>2.0</v>
      </c>
      <c r="AA14" s="14">
        <f t="shared" si="7"/>
        <v>14</v>
      </c>
      <c r="AB14" s="17"/>
      <c r="AC14" s="14">
        <v>6.0</v>
      </c>
      <c r="AD14" s="14">
        <f t="shared" si="8"/>
        <v>8</v>
      </c>
      <c r="AE14" s="17"/>
      <c r="AF14" s="14">
        <v>0.0</v>
      </c>
      <c r="AG14" s="14">
        <f t="shared" si="9"/>
        <v>8</v>
      </c>
      <c r="AH14" s="17"/>
      <c r="AI14" s="14">
        <v>0.0</v>
      </c>
      <c r="AJ14" s="14">
        <f t="shared" si="10"/>
        <v>8</v>
      </c>
      <c r="AK14" s="17"/>
      <c r="AL14" s="14">
        <v>0.0</v>
      </c>
      <c r="AM14" s="14">
        <f t="shared" si="11"/>
        <v>8</v>
      </c>
      <c r="AN14" s="17"/>
      <c r="AO14" s="14">
        <v>0.0</v>
      </c>
      <c r="AP14" s="14">
        <f t="shared" si="12"/>
        <v>8</v>
      </c>
    </row>
    <row r="15">
      <c r="A15" s="1"/>
      <c r="B15" s="18"/>
      <c r="C15" s="19"/>
      <c r="D15" s="12" t="s">
        <v>40</v>
      </c>
      <c r="E15" s="12" t="s">
        <v>26</v>
      </c>
      <c r="F15" s="12" t="s">
        <v>27</v>
      </c>
      <c r="G15" s="13">
        <v>8.0</v>
      </c>
      <c r="H15" s="14">
        <v>0.0</v>
      </c>
      <c r="I15" s="15">
        <f t="shared" si="1"/>
        <v>8</v>
      </c>
      <c r="J15" s="17"/>
      <c r="K15" s="14">
        <v>0.0</v>
      </c>
      <c r="L15" s="15">
        <f t="shared" si="2"/>
        <v>8</v>
      </c>
      <c r="M15" s="17"/>
      <c r="N15" s="14">
        <v>0.0</v>
      </c>
      <c r="O15" s="15">
        <f t="shared" si="3"/>
        <v>8</v>
      </c>
      <c r="P15" s="17"/>
      <c r="Q15" s="14">
        <v>0.0</v>
      </c>
      <c r="R15" s="15">
        <f t="shared" si="4"/>
        <v>8</v>
      </c>
      <c r="S15" s="17"/>
      <c r="T15" s="14">
        <v>0.0</v>
      </c>
      <c r="U15" s="15">
        <f t="shared" si="5"/>
        <v>8</v>
      </c>
      <c r="V15" s="17"/>
      <c r="W15" s="14">
        <v>0.0</v>
      </c>
      <c r="X15" s="15">
        <f t="shared" si="6"/>
        <v>8</v>
      </c>
      <c r="Y15" s="17"/>
      <c r="Z15" s="14">
        <v>0.0</v>
      </c>
      <c r="AA15" s="15">
        <f t="shared" si="7"/>
        <v>8</v>
      </c>
      <c r="AB15" s="17"/>
      <c r="AC15" s="14">
        <v>2.0</v>
      </c>
      <c r="AD15" s="15">
        <f t="shared" si="8"/>
        <v>6</v>
      </c>
      <c r="AE15" s="17"/>
      <c r="AF15" s="14">
        <v>4.0</v>
      </c>
      <c r="AG15" s="15">
        <f t="shared" si="9"/>
        <v>2</v>
      </c>
      <c r="AH15" s="17"/>
      <c r="AI15" s="14">
        <v>0.0</v>
      </c>
      <c r="AJ15" s="15">
        <f t="shared" si="10"/>
        <v>2</v>
      </c>
      <c r="AK15" s="17"/>
      <c r="AL15" s="14">
        <v>0.0</v>
      </c>
      <c r="AM15" s="15">
        <f t="shared" si="11"/>
        <v>2</v>
      </c>
      <c r="AN15" s="17"/>
      <c r="AO15" s="14">
        <v>0.0</v>
      </c>
      <c r="AP15" s="15">
        <f t="shared" si="12"/>
        <v>2</v>
      </c>
    </row>
    <row r="16">
      <c r="A16" s="1"/>
      <c r="B16" s="12" t="s">
        <v>41</v>
      </c>
      <c r="C16" s="20" t="s">
        <v>42</v>
      </c>
      <c r="D16" s="12" t="s">
        <v>25</v>
      </c>
      <c r="E16" s="12" t="s">
        <v>43</v>
      </c>
      <c r="F16" s="12" t="s">
        <v>27</v>
      </c>
      <c r="G16" s="13">
        <v>8.0</v>
      </c>
      <c r="H16" s="14">
        <v>4.0</v>
      </c>
      <c r="I16" s="15">
        <f t="shared" si="1"/>
        <v>4</v>
      </c>
      <c r="J16" s="17"/>
      <c r="K16" s="14">
        <v>3.0</v>
      </c>
      <c r="L16" s="15">
        <f t="shared" si="2"/>
        <v>1</v>
      </c>
      <c r="M16" s="17"/>
      <c r="N16" s="14">
        <v>0.0</v>
      </c>
      <c r="O16" s="15">
        <f t="shared" si="3"/>
        <v>1</v>
      </c>
      <c r="P16" s="17"/>
      <c r="Q16" s="14">
        <v>0.0</v>
      </c>
      <c r="R16" s="15">
        <f t="shared" si="4"/>
        <v>1</v>
      </c>
      <c r="S16" s="17"/>
      <c r="T16" s="14">
        <v>0.0</v>
      </c>
      <c r="U16" s="15">
        <f t="shared" si="5"/>
        <v>1</v>
      </c>
      <c r="V16" s="17"/>
      <c r="W16" s="14">
        <v>0.0</v>
      </c>
      <c r="X16" s="15">
        <f t="shared" si="6"/>
        <v>1</v>
      </c>
      <c r="Y16" s="17"/>
      <c r="Z16" s="14">
        <v>0.0</v>
      </c>
      <c r="AA16" s="15">
        <f t="shared" si="7"/>
        <v>1</v>
      </c>
      <c r="AB16" s="17"/>
      <c r="AC16" s="14">
        <v>0.0</v>
      </c>
      <c r="AD16" s="15">
        <f t="shared" si="8"/>
        <v>1</v>
      </c>
      <c r="AE16" s="17"/>
      <c r="AF16" s="14">
        <v>0.0</v>
      </c>
      <c r="AG16" s="15">
        <f t="shared" si="9"/>
        <v>1</v>
      </c>
      <c r="AH16" s="17"/>
      <c r="AI16" s="14">
        <v>0.0</v>
      </c>
      <c r="AJ16" s="15">
        <f t="shared" si="10"/>
        <v>1</v>
      </c>
      <c r="AK16" s="17"/>
      <c r="AL16" s="14">
        <v>0.0</v>
      </c>
      <c r="AM16" s="15">
        <f t="shared" si="11"/>
        <v>1</v>
      </c>
      <c r="AN16" s="17"/>
      <c r="AO16" s="14">
        <v>0.0</v>
      </c>
      <c r="AP16" s="15">
        <f t="shared" si="12"/>
        <v>1</v>
      </c>
    </row>
    <row r="17">
      <c r="A17" s="1"/>
      <c r="B17" s="18"/>
      <c r="C17" s="18"/>
      <c r="D17" s="12" t="s">
        <v>28</v>
      </c>
      <c r="E17" s="12" t="s">
        <v>44</v>
      </c>
      <c r="F17" s="12" t="s">
        <v>27</v>
      </c>
      <c r="G17" s="13">
        <v>16.0</v>
      </c>
      <c r="H17" s="14">
        <v>0.0</v>
      </c>
      <c r="I17" s="15">
        <f t="shared" si="1"/>
        <v>16</v>
      </c>
      <c r="J17" s="17"/>
      <c r="K17" s="14">
        <v>5.0</v>
      </c>
      <c r="L17" s="15">
        <f t="shared" si="2"/>
        <v>11</v>
      </c>
      <c r="M17" s="17"/>
      <c r="N17" s="14">
        <v>0.0</v>
      </c>
      <c r="O17" s="15">
        <f t="shared" si="3"/>
        <v>11</v>
      </c>
      <c r="P17" s="17"/>
      <c r="Q17" s="14">
        <v>0.0</v>
      </c>
      <c r="R17" s="15">
        <f t="shared" si="4"/>
        <v>11</v>
      </c>
      <c r="S17" s="17"/>
      <c r="T17" s="14">
        <v>0.0</v>
      </c>
      <c r="U17" s="15">
        <f t="shared" si="5"/>
        <v>11</v>
      </c>
      <c r="V17" s="16"/>
      <c r="W17" s="14">
        <v>0.0</v>
      </c>
      <c r="X17" s="15">
        <f t="shared" si="6"/>
        <v>11</v>
      </c>
      <c r="Y17" s="17"/>
      <c r="Z17" s="14">
        <v>0.0</v>
      </c>
      <c r="AA17" s="15">
        <f t="shared" si="7"/>
        <v>11</v>
      </c>
      <c r="AB17" s="17"/>
      <c r="AC17" s="14">
        <v>0.0</v>
      </c>
      <c r="AD17" s="15">
        <f t="shared" si="8"/>
        <v>11</v>
      </c>
      <c r="AE17" s="17"/>
      <c r="AF17" s="14">
        <v>0.0</v>
      </c>
      <c r="AG17" s="14">
        <v>0.0</v>
      </c>
      <c r="AH17" s="17"/>
      <c r="AI17" s="14">
        <v>0.0</v>
      </c>
      <c r="AJ17" s="15">
        <f t="shared" si="10"/>
        <v>0</v>
      </c>
      <c r="AK17" s="17"/>
      <c r="AL17" s="14">
        <v>0.0</v>
      </c>
      <c r="AM17" s="15">
        <f t="shared" si="11"/>
        <v>0</v>
      </c>
      <c r="AN17" s="17"/>
      <c r="AO17" s="14">
        <v>0.0</v>
      </c>
      <c r="AP17" s="15">
        <f t="shared" si="12"/>
        <v>0</v>
      </c>
    </row>
    <row r="18">
      <c r="A18" s="1"/>
      <c r="B18" s="18"/>
      <c r="C18" s="18"/>
      <c r="D18" s="12" t="s">
        <v>30</v>
      </c>
      <c r="E18" s="12" t="s">
        <v>44</v>
      </c>
      <c r="F18" s="12" t="s">
        <v>27</v>
      </c>
      <c r="G18" s="13">
        <v>12.0</v>
      </c>
      <c r="H18" s="14">
        <v>0.0</v>
      </c>
      <c r="I18" s="15">
        <f t="shared" si="1"/>
        <v>12</v>
      </c>
      <c r="J18" s="17"/>
      <c r="K18" s="14">
        <v>0.0</v>
      </c>
      <c r="L18" s="15">
        <f t="shared" si="2"/>
        <v>12</v>
      </c>
      <c r="M18" s="17"/>
      <c r="N18" s="14">
        <v>6.0</v>
      </c>
      <c r="O18" s="15">
        <f t="shared" si="3"/>
        <v>6</v>
      </c>
      <c r="P18" s="17"/>
      <c r="Q18" s="14">
        <v>0.0</v>
      </c>
      <c r="R18" s="15">
        <f t="shared" si="4"/>
        <v>6</v>
      </c>
      <c r="S18" s="17"/>
      <c r="T18" s="14">
        <v>0.0</v>
      </c>
      <c r="U18" s="15">
        <f t="shared" si="5"/>
        <v>6</v>
      </c>
      <c r="V18" s="17"/>
      <c r="W18" s="14">
        <v>0.0</v>
      </c>
      <c r="X18" s="15">
        <f t="shared" si="6"/>
        <v>6</v>
      </c>
      <c r="Y18" s="17"/>
      <c r="Z18" s="14">
        <v>0.0</v>
      </c>
      <c r="AA18" s="15">
        <f t="shared" si="7"/>
        <v>6</v>
      </c>
      <c r="AB18" s="16"/>
      <c r="AC18" s="14">
        <v>0.0</v>
      </c>
      <c r="AD18" s="15">
        <f t="shared" si="8"/>
        <v>6</v>
      </c>
      <c r="AE18" s="17"/>
      <c r="AF18" s="14">
        <v>0.0</v>
      </c>
      <c r="AG18" s="15">
        <f t="shared" ref="AG18:AG31" si="13">AD18-AF18</f>
        <v>6</v>
      </c>
      <c r="AH18" s="17"/>
      <c r="AI18" s="14">
        <v>0.0</v>
      </c>
      <c r="AJ18" s="15">
        <f t="shared" si="10"/>
        <v>6</v>
      </c>
      <c r="AK18" s="17"/>
      <c r="AL18" s="14">
        <v>0.0</v>
      </c>
      <c r="AM18" s="15">
        <f t="shared" si="11"/>
        <v>6</v>
      </c>
      <c r="AN18" s="17"/>
      <c r="AO18" s="14">
        <v>0.0</v>
      </c>
      <c r="AP18" s="15">
        <f t="shared" si="12"/>
        <v>6</v>
      </c>
    </row>
    <row r="19">
      <c r="A19" s="1"/>
      <c r="B19" s="18"/>
      <c r="C19" s="18"/>
      <c r="D19" s="12" t="s">
        <v>31</v>
      </c>
      <c r="E19" s="12" t="s">
        <v>44</v>
      </c>
      <c r="F19" s="12" t="s">
        <v>27</v>
      </c>
      <c r="G19" s="13">
        <v>8.0</v>
      </c>
      <c r="H19" s="14">
        <v>0.0</v>
      </c>
      <c r="I19" s="15">
        <f t="shared" si="1"/>
        <v>8</v>
      </c>
      <c r="J19" s="17"/>
      <c r="K19" s="14">
        <v>0.0</v>
      </c>
      <c r="L19" s="15">
        <f t="shared" si="2"/>
        <v>8</v>
      </c>
      <c r="M19" s="17"/>
      <c r="N19" s="14">
        <v>0.0</v>
      </c>
      <c r="O19" s="15">
        <f t="shared" si="3"/>
        <v>8</v>
      </c>
      <c r="P19" s="17"/>
      <c r="Q19" s="14">
        <v>4.0</v>
      </c>
      <c r="R19" s="15">
        <f t="shared" si="4"/>
        <v>4</v>
      </c>
      <c r="S19" s="17"/>
      <c r="T19" s="14">
        <v>5.0</v>
      </c>
      <c r="U19" s="15">
        <f t="shared" si="5"/>
        <v>-1</v>
      </c>
      <c r="V19" s="17"/>
      <c r="W19" s="14">
        <v>0.0</v>
      </c>
      <c r="X19" s="15">
        <f t="shared" si="6"/>
        <v>-1</v>
      </c>
      <c r="Y19" s="17"/>
      <c r="Z19" s="14">
        <v>0.0</v>
      </c>
      <c r="AA19" s="15">
        <f t="shared" si="7"/>
        <v>-1</v>
      </c>
      <c r="AB19" s="17"/>
      <c r="AC19" s="14">
        <v>0.0</v>
      </c>
      <c r="AD19" s="15">
        <f t="shared" si="8"/>
        <v>-1</v>
      </c>
      <c r="AE19" s="17"/>
      <c r="AF19" s="14">
        <v>0.0</v>
      </c>
      <c r="AG19" s="15">
        <f t="shared" si="13"/>
        <v>-1</v>
      </c>
      <c r="AH19" s="17"/>
      <c r="AI19" s="14">
        <v>0.0</v>
      </c>
      <c r="AJ19" s="15">
        <f t="shared" si="10"/>
        <v>-1</v>
      </c>
      <c r="AK19" s="17"/>
      <c r="AL19" s="14">
        <v>0.0</v>
      </c>
      <c r="AM19" s="15">
        <f t="shared" si="11"/>
        <v>-1</v>
      </c>
      <c r="AN19" s="17"/>
      <c r="AO19" s="14">
        <v>0.0</v>
      </c>
      <c r="AP19" s="15">
        <f t="shared" si="12"/>
        <v>-1</v>
      </c>
    </row>
    <row r="20">
      <c r="A20" s="1"/>
      <c r="B20" s="12" t="s">
        <v>45</v>
      </c>
      <c r="C20" s="12" t="s">
        <v>46</v>
      </c>
      <c r="D20" s="12" t="s">
        <v>47</v>
      </c>
      <c r="E20" s="12" t="s">
        <v>43</v>
      </c>
      <c r="F20" s="12" t="s">
        <v>27</v>
      </c>
      <c r="G20" s="13">
        <v>8.0</v>
      </c>
      <c r="H20" s="14">
        <v>0.0</v>
      </c>
      <c r="I20" s="15">
        <f t="shared" si="1"/>
        <v>8</v>
      </c>
      <c r="J20" s="17"/>
      <c r="K20" s="14">
        <v>0.0</v>
      </c>
      <c r="L20" s="15">
        <f t="shared" si="2"/>
        <v>8</v>
      </c>
      <c r="M20" s="17"/>
      <c r="N20" s="14">
        <v>7.0</v>
      </c>
      <c r="O20" s="15">
        <f t="shared" si="3"/>
        <v>1</v>
      </c>
      <c r="P20" s="17"/>
      <c r="Q20" s="14">
        <v>0.0</v>
      </c>
      <c r="R20" s="15">
        <f t="shared" si="4"/>
        <v>1</v>
      </c>
      <c r="S20" s="17"/>
      <c r="T20" s="14">
        <v>0.0</v>
      </c>
      <c r="U20" s="15">
        <f t="shared" si="5"/>
        <v>1</v>
      </c>
      <c r="V20" s="17"/>
      <c r="W20" s="14">
        <v>0.0</v>
      </c>
      <c r="X20" s="15">
        <f t="shared" si="6"/>
        <v>1</v>
      </c>
      <c r="Y20" s="17"/>
      <c r="Z20" s="14">
        <v>0.0</v>
      </c>
      <c r="AA20" s="14">
        <v>0.0</v>
      </c>
      <c r="AB20" s="17"/>
      <c r="AC20" s="14">
        <v>0.0</v>
      </c>
      <c r="AD20" s="15">
        <f t="shared" si="8"/>
        <v>0</v>
      </c>
      <c r="AE20" s="17"/>
      <c r="AF20" s="14">
        <v>0.0</v>
      </c>
      <c r="AG20" s="15">
        <f t="shared" si="13"/>
        <v>0</v>
      </c>
      <c r="AH20" s="17"/>
      <c r="AI20" s="14">
        <v>0.0</v>
      </c>
      <c r="AJ20" s="15">
        <f t="shared" si="10"/>
        <v>0</v>
      </c>
      <c r="AK20" s="17"/>
      <c r="AL20" s="14">
        <v>0.0</v>
      </c>
      <c r="AM20" s="15">
        <f t="shared" si="11"/>
        <v>0</v>
      </c>
      <c r="AN20" s="17"/>
      <c r="AO20" s="14">
        <v>0.0</v>
      </c>
      <c r="AP20" s="15">
        <f t="shared" si="12"/>
        <v>0</v>
      </c>
    </row>
    <row r="21">
      <c r="A21" s="1"/>
      <c r="B21" s="18"/>
      <c r="C21" s="18"/>
      <c r="D21" s="12" t="s">
        <v>39</v>
      </c>
      <c r="E21" s="12" t="s">
        <v>44</v>
      </c>
      <c r="F21" s="12" t="s">
        <v>27</v>
      </c>
      <c r="G21" s="13">
        <v>16.0</v>
      </c>
      <c r="H21" s="14">
        <v>0.0</v>
      </c>
      <c r="I21" s="15">
        <f t="shared" si="1"/>
        <v>16</v>
      </c>
      <c r="J21" s="17"/>
      <c r="K21" s="14">
        <v>0.0</v>
      </c>
      <c r="L21" s="15">
        <f t="shared" si="2"/>
        <v>16</v>
      </c>
      <c r="M21" s="17"/>
      <c r="N21" s="14">
        <v>0.0</v>
      </c>
      <c r="O21" s="15">
        <f t="shared" si="3"/>
        <v>16</v>
      </c>
      <c r="P21" s="17"/>
      <c r="Q21" s="14">
        <v>0.0</v>
      </c>
      <c r="R21" s="15">
        <f t="shared" si="4"/>
        <v>16</v>
      </c>
      <c r="S21" s="17"/>
      <c r="T21" s="14">
        <v>0.0</v>
      </c>
      <c r="U21" s="15">
        <f t="shared" si="5"/>
        <v>16</v>
      </c>
      <c r="V21" s="17"/>
      <c r="W21" s="14">
        <v>8.0</v>
      </c>
      <c r="X21" s="15">
        <f t="shared" si="6"/>
        <v>8</v>
      </c>
      <c r="Y21" s="17"/>
      <c r="Z21" s="14">
        <v>0.0</v>
      </c>
      <c r="AA21" s="15">
        <f t="shared" ref="AA21:AA31" si="14">X21-Z21</f>
        <v>8</v>
      </c>
      <c r="AB21" s="17"/>
      <c r="AC21" s="14">
        <v>0.0</v>
      </c>
      <c r="AD21" s="15">
        <f t="shared" si="8"/>
        <v>8</v>
      </c>
      <c r="AE21" s="17"/>
      <c r="AF21" s="14">
        <v>0.0</v>
      </c>
      <c r="AG21" s="15">
        <f t="shared" si="13"/>
        <v>8</v>
      </c>
      <c r="AH21" s="17"/>
      <c r="AI21" s="14">
        <v>0.0</v>
      </c>
      <c r="AJ21" s="15">
        <f t="shared" si="10"/>
        <v>8</v>
      </c>
      <c r="AK21" s="17"/>
      <c r="AL21" s="14">
        <v>0.0</v>
      </c>
      <c r="AM21" s="15">
        <f t="shared" si="11"/>
        <v>8</v>
      </c>
      <c r="AN21" s="17"/>
      <c r="AO21" s="14">
        <v>0.0</v>
      </c>
      <c r="AP21" s="15">
        <f t="shared" si="12"/>
        <v>8</v>
      </c>
    </row>
    <row r="22">
      <c r="A22" s="1"/>
      <c r="B22" s="18"/>
      <c r="C22" s="18"/>
      <c r="D22" s="12" t="s">
        <v>31</v>
      </c>
      <c r="E22" s="12" t="s">
        <v>44</v>
      </c>
      <c r="F22" s="12" t="s">
        <v>27</v>
      </c>
      <c r="G22" s="13">
        <v>12.0</v>
      </c>
      <c r="H22" s="14">
        <v>0.0</v>
      </c>
      <c r="I22" s="15">
        <f t="shared" si="1"/>
        <v>12</v>
      </c>
      <c r="J22" s="17"/>
      <c r="K22" s="14">
        <v>0.0</v>
      </c>
      <c r="L22" s="15">
        <f t="shared" si="2"/>
        <v>12</v>
      </c>
      <c r="M22" s="17"/>
      <c r="N22" s="14">
        <v>0.0</v>
      </c>
      <c r="O22" s="15">
        <f t="shared" si="3"/>
        <v>12</v>
      </c>
      <c r="P22" s="17"/>
      <c r="Q22" s="14">
        <v>0.0</v>
      </c>
      <c r="R22" s="15">
        <f t="shared" si="4"/>
        <v>12</v>
      </c>
      <c r="S22" s="17"/>
      <c r="T22" s="14">
        <v>0.0</v>
      </c>
      <c r="U22" s="15">
        <f t="shared" si="5"/>
        <v>12</v>
      </c>
      <c r="V22" s="17"/>
      <c r="W22" s="14">
        <v>3.0</v>
      </c>
      <c r="X22" s="15">
        <f t="shared" si="6"/>
        <v>9</v>
      </c>
      <c r="Y22" s="17"/>
      <c r="Z22" s="14">
        <v>6.0</v>
      </c>
      <c r="AA22" s="15">
        <f t="shared" si="14"/>
        <v>3</v>
      </c>
      <c r="AB22" s="17"/>
      <c r="AC22" s="14">
        <v>0.0</v>
      </c>
      <c r="AD22" s="15">
        <f t="shared" si="8"/>
        <v>3</v>
      </c>
      <c r="AE22" s="17"/>
      <c r="AF22" s="14">
        <v>0.0</v>
      </c>
      <c r="AG22" s="15">
        <f t="shared" si="13"/>
        <v>3</v>
      </c>
      <c r="AH22" s="17"/>
      <c r="AI22" s="14">
        <v>0.0</v>
      </c>
      <c r="AJ22" s="15">
        <f t="shared" si="10"/>
        <v>3</v>
      </c>
      <c r="AK22" s="17"/>
      <c r="AL22" s="14">
        <v>0.0</v>
      </c>
      <c r="AM22" s="15">
        <f t="shared" si="11"/>
        <v>3</v>
      </c>
      <c r="AN22" s="17"/>
      <c r="AO22" s="14">
        <v>0.0</v>
      </c>
      <c r="AP22" s="15">
        <f t="shared" si="12"/>
        <v>3</v>
      </c>
    </row>
    <row r="23">
      <c r="A23" s="1"/>
      <c r="B23" s="12" t="s">
        <v>48</v>
      </c>
      <c r="C23" s="12" t="s">
        <v>49</v>
      </c>
      <c r="D23" s="12" t="s">
        <v>34</v>
      </c>
      <c r="E23" s="12" t="s">
        <v>50</v>
      </c>
      <c r="F23" s="12" t="s">
        <v>27</v>
      </c>
      <c r="G23" s="13">
        <v>12.0</v>
      </c>
      <c r="H23" s="14">
        <v>0.0</v>
      </c>
      <c r="I23" s="15">
        <f t="shared" si="1"/>
        <v>12</v>
      </c>
      <c r="J23" s="17"/>
      <c r="K23" s="14">
        <v>0.0</v>
      </c>
      <c r="L23" s="15">
        <f t="shared" si="2"/>
        <v>12</v>
      </c>
      <c r="M23" s="17"/>
      <c r="N23" s="14">
        <v>0.0</v>
      </c>
      <c r="O23" s="15">
        <f t="shared" si="3"/>
        <v>12</v>
      </c>
      <c r="P23" s="17"/>
      <c r="Q23" s="14">
        <v>8.0</v>
      </c>
      <c r="R23" s="15">
        <f t="shared" si="4"/>
        <v>4</v>
      </c>
      <c r="S23" s="17"/>
      <c r="T23" s="14">
        <v>5.0</v>
      </c>
      <c r="U23" s="15">
        <f t="shared" si="5"/>
        <v>-1</v>
      </c>
      <c r="V23" s="17"/>
      <c r="W23" s="14">
        <v>3.0</v>
      </c>
      <c r="X23" s="15">
        <f t="shared" si="6"/>
        <v>-4</v>
      </c>
      <c r="Y23" s="17"/>
      <c r="Z23" s="14">
        <v>0.0</v>
      </c>
      <c r="AA23" s="15">
        <f t="shared" si="14"/>
        <v>-4</v>
      </c>
      <c r="AB23" s="17"/>
      <c r="AC23" s="14">
        <v>0.0</v>
      </c>
      <c r="AD23" s="15">
        <f t="shared" si="8"/>
        <v>-4</v>
      </c>
      <c r="AE23" s="17"/>
      <c r="AF23" s="14">
        <v>0.0</v>
      </c>
      <c r="AG23" s="15">
        <f t="shared" si="13"/>
        <v>-4</v>
      </c>
      <c r="AH23" s="17"/>
      <c r="AI23" s="14">
        <v>0.0</v>
      </c>
      <c r="AJ23" s="15">
        <f t="shared" si="10"/>
        <v>-4</v>
      </c>
      <c r="AK23" s="17"/>
      <c r="AL23" s="14">
        <v>0.0</v>
      </c>
      <c r="AM23" s="15">
        <f t="shared" si="11"/>
        <v>-4</v>
      </c>
      <c r="AN23" s="17"/>
      <c r="AO23" s="14">
        <v>0.0</v>
      </c>
      <c r="AP23" s="15">
        <f t="shared" si="12"/>
        <v>-4</v>
      </c>
    </row>
    <row r="24">
      <c r="A24" s="1"/>
      <c r="B24" s="18"/>
      <c r="C24" s="18"/>
      <c r="D24" s="12" t="s">
        <v>35</v>
      </c>
      <c r="E24" s="12" t="s">
        <v>26</v>
      </c>
      <c r="F24" s="12" t="s">
        <v>27</v>
      </c>
      <c r="G24" s="13">
        <v>12.0</v>
      </c>
      <c r="H24" s="14">
        <v>0.0</v>
      </c>
      <c r="I24" s="15">
        <f t="shared" si="1"/>
        <v>12</v>
      </c>
      <c r="J24" s="17"/>
      <c r="K24" s="14">
        <v>0.0</v>
      </c>
      <c r="L24" s="15">
        <f t="shared" si="2"/>
        <v>12</v>
      </c>
      <c r="M24" s="17"/>
      <c r="N24" s="14">
        <v>0.0</v>
      </c>
      <c r="O24" s="15">
        <f t="shared" si="3"/>
        <v>12</v>
      </c>
      <c r="P24" s="17"/>
      <c r="Q24" s="14">
        <v>0.0</v>
      </c>
      <c r="R24" s="15">
        <f t="shared" si="4"/>
        <v>12</v>
      </c>
      <c r="S24" s="17"/>
      <c r="T24" s="14">
        <v>0.0</v>
      </c>
      <c r="U24" s="15">
        <f t="shared" si="5"/>
        <v>12</v>
      </c>
      <c r="V24" s="17"/>
      <c r="W24" s="14">
        <v>0.0</v>
      </c>
      <c r="X24" s="15">
        <f t="shared" si="6"/>
        <v>12</v>
      </c>
      <c r="Y24" s="17"/>
      <c r="Z24" s="14">
        <v>0.0</v>
      </c>
      <c r="AA24" s="15">
        <f t="shared" si="14"/>
        <v>12</v>
      </c>
      <c r="AB24" s="17"/>
      <c r="AC24" s="14">
        <v>2.0</v>
      </c>
      <c r="AD24" s="15">
        <f t="shared" si="8"/>
        <v>10</v>
      </c>
      <c r="AE24" s="17"/>
      <c r="AF24" s="14">
        <v>6.0</v>
      </c>
      <c r="AG24" s="15">
        <f t="shared" si="13"/>
        <v>4</v>
      </c>
      <c r="AH24" s="17"/>
      <c r="AI24" s="14">
        <v>0.0</v>
      </c>
      <c r="AJ24" s="15">
        <f t="shared" si="10"/>
        <v>4</v>
      </c>
      <c r="AK24" s="17"/>
      <c r="AL24" s="14">
        <v>0.0</v>
      </c>
      <c r="AM24" s="15">
        <f t="shared" si="11"/>
        <v>4</v>
      </c>
      <c r="AN24" s="17"/>
      <c r="AO24" s="14">
        <v>0.0</v>
      </c>
      <c r="AP24" s="15">
        <f t="shared" si="12"/>
        <v>4</v>
      </c>
    </row>
    <row r="25">
      <c r="A25" s="1"/>
      <c r="B25" s="18"/>
      <c r="C25" s="21"/>
      <c r="D25" s="12" t="s">
        <v>31</v>
      </c>
      <c r="E25" s="12" t="s">
        <v>43</v>
      </c>
      <c r="F25" s="12" t="s">
        <v>27</v>
      </c>
      <c r="G25" s="13">
        <v>8.0</v>
      </c>
      <c r="H25" s="14">
        <v>0.0</v>
      </c>
      <c r="I25" s="15">
        <f t="shared" si="1"/>
        <v>8</v>
      </c>
      <c r="J25" s="17"/>
      <c r="K25" s="14">
        <v>0.0</v>
      </c>
      <c r="L25" s="15">
        <f t="shared" si="2"/>
        <v>8</v>
      </c>
      <c r="M25" s="17"/>
      <c r="N25" s="14">
        <v>0.0</v>
      </c>
      <c r="O25" s="15">
        <f t="shared" si="3"/>
        <v>8</v>
      </c>
      <c r="P25" s="17"/>
      <c r="Q25" s="14">
        <v>0.0</v>
      </c>
      <c r="R25" s="15">
        <f t="shared" si="4"/>
        <v>8</v>
      </c>
      <c r="S25" s="17"/>
      <c r="T25" s="14">
        <v>0.0</v>
      </c>
      <c r="U25" s="15">
        <f t="shared" si="5"/>
        <v>8</v>
      </c>
      <c r="V25" s="17"/>
      <c r="W25" s="14">
        <v>0.0</v>
      </c>
      <c r="X25" s="15">
        <f t="shared" si="6"/>
        <v>8</v>
      </c>
      <c r="Y25" s="17"/>
      <c r="Z25" s="14">
        <v>0.0</v>
      </c>
      <c r="AA25" s="15">
        <f t="shared" si="14"/>
        <v>8</v>
      </c>
      <c r="AB25" s="17"/>
      <c r="AC25" s="14">
        <v>0.0</v>
      </c>
      <c r="AD25" s="15">
        <f t="shared" si="8"/>
        <v>8</v>
      </c>
      <c r="AE25" s="17"/>
      <c r="AF25" s="14">
        <v>2.0</v>
      </c>
      <c r="AG25" s="15">
        <f t="shared" si="13"/>
        <v>6</v>
      </c>
      <c r="AH25" s="17"/>
      <c r="AI25" s="14">
        <v>4.0</v>
      </c>
      <c r="AJ25" s="15">
        <f t="shared" si="10"/>
        <v>2</v>
      </c>
      <c r="AK25" s="17"/>
      <c r="AL25" s="14">
        <v>3.0</v>
      </c>
      <c r="AM25" s="15">
        <f t="shared" si="11"/>
        <v>-1</v>
      </c>
      <c r="AN25" s="17"/>
      <c r="AO25" s="14">
        <v>0.0</v>
      </c>
      <c r="AP25" s="15">
        <f t="shared" si="12"/>
        <v>-1</v>
      </c>
    </row>
    <row r="26">
      <c r="A26" s="1"/>
      <c r="B26" s="12" t="s">
        <v>51</v>
      </c>
      <c r="C26" s="21" t="s">
        <v>52</v>
      </c>
      <c r="D26" s="12" t="s">
        <v>53</v>
      </c>
      <c r="E26" s="12" t="s">
        <v>26</v>
      </c>
      <c r="F26" s="12" t="s">
        <v>27</v>
      </c>
      <c r="G26" s="13">
        <v>8.0</v>
      </c>
      <c r="H26" s="14">
        <v>0.0</v>
      </c>
      <c r="I26" s="15">
        <f t="shared" si="1"/>
        <v>8</v>
      </c>
      <c r="J26" s="16"/>
      <c r="K26" s="14">
        <v>0.0</v>
      </c>
      <c r="L26" s="15">
        <f t="shared" si="2"/>
        <v>8</v>
      </c>
      <c r="M26" s="17"/>
      <c r="N26" s="14">
        <v>0.0</v>
      </c>
      <c r="O26" s="15">
        <f t="shared" si="3"/>
        <v>8</v>
      </c>
      <c r="P26" s="17"/>
      <c r="Q26" s="14">
        <v>0.0</v>
      </c>
      <c r="R26" s="15">
        <f t="shared" si="4"/>
        <v>8</v>
      </c>
      <c r="S26" s="17"/>
      <c r="T26" s="14">
        <v>0.0</v>
      </c>
      <c r="U26" s="15">
        <f t="shared" si="5"/>
        <v>8</v>
      </c>
      <c r="V26" s="17"/>
      <c r="W26" s="14">
        <v>0.0</v>
      </c>
      <c r="X26" s="15">
        <f t="shared" si="6"/>
        <v>8</v>
      </c>
      <c r="Y26" s="17"/>
      <c r="Z26" s="14">
        <v>0.0</v>
      </c>
      <c r="AA26" s="15">
        <f t="shared" si="14"/>
        <v>8</v>
      </c>
      <c r="AB26" s="17"/>
      <c r="AC26" s="14">
        <v>6.0</v>
      </c>
      <c r="AD26" s="15">
        <f t="shared" si="8"/>
        <v>2</v>
      </c>
      <c r="AE26" s="17"/>
      <c r="AF26" s="14">
        <v>0.0</v>
      </c>
      <c r="AG26" s="15">
        <f t="shared" si="13"/>
        <v>2</v>
      </c>
      <c r="AH26" s="17"/>
      <c r="AI26" s="14">
        <v>3.0</v>
      </c>
      <c r="AJ26" s="15">
        <f t="shared" si="10"/>
        <v>-1</v>
      </c>
      <c r="AK26" s="17"/>
      <c r="AL26" s="14">
        <v>0.0</v>
      </c>
      <c r="AM26" s="15">
        <f t="shared" si="11"/>
        <v>-1</v>
      </c>
      <c r="AN26" s="17"/>
      <c r="AO26" s="14">
        <v>0.0</v>
      </c>
      <c r="AP26" s="15">
        <f t="shared" si="12"/>
        <v>-1</v>
      </c>
    </row>
    <row r="27">
      <c r="A27" s="1"/>
      <c r="B27" s="18"/>
      <c r="C27" s="22"/>
      <c r="D27" s="12" t="s">
        <v>54</v>
      </c>
      <c r="E27" s="12" t="s">
        <v>29</v>
      </c>
      <c r="F27" s="12" t="s">
        <v>27</v>
      </c>
      <c r="G27" s="13">
        <v>8.0</v>
      </c>
      <c r="H27" s="14">
        <v>0.0</v>
      </c>
      <c r="I27" s="15">
        <f t="shared" si="1"/>
        <v>8</v>
      </c>
      <c r="J27" s="17"/>
      <c r="K27" s="14">
        <v>0.0</v>
      </c>
      <c r="L27" s="15">
        <f t="shared" si="2"/>
        <v>8</v>
      </c>
      <c r="M27" s="17"/>
      <c r="N27" s="14">
        <v>0.0</v>
      </c>
      <c r="O27" s="15">
        <f t="shared" si="3"/>
        <v>8</v>
      </c>
      <c r="P27" s="17"/>
      <c r="Q27" s="14">
        <v>0.0</v>
      </c>
      <c r="R27" s="15">
        <f t="shared" si="4"/>
        <v>8</v>
      </c>
      <c r="S27" s="17"/>
      <c r="T27" s="14">
        <v>0.0</v>
      </c>
      <c r="U27" s="15">
        <f t="shared" si="5"/>
        <v>8</v>
      </c>
      <c r="V27" s="17"/>
      <c r="W27" s="14">
        <v>0.0</v>
      </c>
      <c r="X27" s="15">
        <f t="shared" si="6"/>
        <v>8</v>
      </c>
      <c r="Y27" s="17"/>
      <c r="Z27" s="14">
        <v>0.0</v>
      </c>
      <c r="AA27" s="15">
        <f t="shared" si="14"/>
        <v>8</v>
      </c>
      <c r="AB27" s="17"/>
      <c r="AC27" s="14">
        <v>0.0</v>
      </c>
      <c r="AD27" s="15">
        <f t="shared" si="8"/>
        <v>8</v>
      </c>
      <c r="AE27" s="17"/>
      <c r="AF27" s="14">
        <v>0.0</v>
      </c>
      <c r="AG27" s="15">
        <f t="shared" si="13"/>
        <v>8</v>
      </c>
      <c r="AH27" s="17"/>
      <c r="AI27" s="14">
        <v>8.0</v>
      </c>
      <c r="AJ27" s="15">
        <f t="shared" si="10"/>
        <v>0</v>
      </c>
      <c r="AK27" s="17"/>
      <c r="AL27" s="14">
        <v>2.0</v>
      </c>
      <c r="AM27" s="15">
        <f t="shared" si="11"/>
        <v>-2</v>
      </c>
      <c r="AN27" s="17"/>
      <c r="AO27" s="14">
        <v>0.0</v>
      </c>
      <c r="AP27" s="15">
        <f t="shared" si="12"/>
        <v>-2</v>
      </c>
    </row>
    <row r="28">
      <c r="A28" s="1"/>
      <c r="B28" s="18"/>
      <c r="C28" s="22"/>
      <c r="D28" s="12" t="s">
        <v>55</v>
      </c>
      <c r="E28" s="12" t="s">
        <v>29</v>
      </c>
      <c r="F28" s="12" t="s">
        <v>27</v>
      </c>
      <c r="G28" s="13">
        <v>16.0</v>
      </c>
      <c r="H28" s="14">
        <v>0.0</v>
      </c>
      <c r="I28" s="15">
        <f t="shared" si="1"/>
        <v>16</v>
      </c>
      <c r="J28" s="17"/>
      <c r="K28" s="14">
        <v>0.0</v>
      </c>
      <c r="L28" s="15">
        <f t="shared" si="2"/>
        <v>16</v>
      </c>
      <c r="M28" s="17"/>
      <c r="N28" s="14">
        <v>0.0</v>
      </c>
      <c r="O28" s="15">
        <f t="shared" si="3"/>
        <v>16</v>
      </c>
      <c r="P28" s="16"/>
      <c r="Q28" s="14">
        <v>0.0</v>
      </c>
      <c r="R28" s="15">
        <f t="shared" si="4"/>
        <v>16</v>
      </c>
      <c r="S28" s="17"/>
      <c r="T28" s="14">
        <v>0.0</v>
      </c>
      <c r="U28" s="15">
        <f t="shared" si="5"/>
        <v>16</v>
      </c>
      <c r="V28" s="17"/>
      <c r="W28" s="14">
        <v>0.0</v>
      </c>
      <c r="X28" s="15">
        <f t="shared" si="6"/>
        <v>16</v>
      </c>
      <c r="Y28" s="17"/>
      <c r="Z28" s="14">
        <v>0.0</v>
      </c>
      <c r="AA28" s="15">
        <f t="shared" si="14"/>
        <v>16</v>
      </c>
      <c r="AB28" s="17"/>
      <c r="AC28" s="14">
        <v>0.0</v>
      </c>
      <c r="AD28" s="15">
        <f t="shared" si="8"/>
        <v>16</v>
      </c>
      <c r="AE28" s="17"/>
      <c r="AF28" s="14">
        <v>0.0</v>
      </c>
      <c r="AG28" s="15">
        <f t="shared" si="13"/>
        <v>16</v>
      </c>
      <c r="AH28" s="17"/>
      <c r="AI28" s="14">
        <v>0.0</v>
      </c>
      <c r="AJ28" s="15">
        <f t="shared" si="10"/>
        <v>16</v>
      </c>
      <c r="AK28" s="17"/>
      <c r="AL28" s="14">
        <v>9.0</v>
      </c>
      <c r="AM28" s="15">
        <f t="shared" si="11"/>
        <v>7</v>
      </c>
      <c r="AN28" s="17"/>
      <c r="AO28" s="14">
        <v>0.0</v>
      </c>
      <c r="AP28" s="15">
        <f t="shared" si="12"/>
        <v>7</v>
      </c>
    </row>
    <row r="29">
      <c r="A29" s="1"/>
      <c r="B29" s="18"/>
      <c r="C29" s="21"/>
      <c r="D29" s="12" t="s">
        <v>56</v>
      </c>
      <c r="E29" s="12" t="s">
        <v>29</v>
      </c>
      <c r="F29" s="12" t="s">
        <v>27</v>
      </c>
      <c r="G29" s="13">
        <v>16.0</v>
      </c>
      <c r="H29" s="14">
        <v>0.0</v>
      </c>
      <c r="I29" s="15">
        <f t="shared" si="1"/>
        <v>16</v>
      </c>
      <c r="J29" s="17"/>
      <c r="K29" s="14">
        <v>0.0</v>
      </c>
      <c r="L29" s="15">
        <f t="shared" si="2"/>
        <v>16</v>
      </c>
      <c r="M29" s="17"/>
      <c r="N29" s="14">
        <v>0.0</v>
      </c>
      <c r="O29" s="15">
        <f t="shared" si="3"/>
        <v>16</v>
      </c>
      <c r="P29" s="17"/>
      <c r="Q29" s="14">
        <v>0.0</v>
      </c>
      <c r="R29" s="15">
        <f t="shared" si="4"/>
        <v>16</v>
      </c>
      <c r="S29" s="17"/>
      <c r="T29" s="14">
        <v>0.0</v>
      </c>
      <c r="U29" s="15">
        <f t="shared" si="5"/>
        <v>16</v>
      </c>
      <c r="V29" s="17"/>
      <c r="W29" s="14">
        <v>0.0</v>
      </c>
      <c r="X29" s="15">
        <f t="shared" si="6"/>
        <v>16</v>
      </c>
      <c r="Y29" s="17"/>
      <c r="Z29" s="14">
        <v>0.0</v>
      </c>
      <c r="AA29" s="15">
        <f t="shared" si="14"/>
        <v>16</v>
      </c>
      <c r="AB29" s="17"/>
      <c r="AC29" s="14">
        <v>0.0</v>
      </c>
      <c r="AD29" s="15">
        <f t="shared" si="8"/>
        <v>16</v>
      </c>
      <c r="AE29" s="17"/>
      <c r="AF29" s="14">
        <v>0.0</v>
      </c>
      <c r="AG29" s="15">
        <f t="shared" si="13"/>
        <v>16</v>
      </c>
      <c r="AH29" s="17"/>
      <c r="AI29" s="14">
        <v>0.0</v>
      </c>
      <c r="AJ29" s="15">
        <f t="shared" si="10"/>
        <v>16</v>
      </c>
      <c r="AK29" s="17"/>
      <c r="AL29" s="14">
        <v>3.0</v>
      </c>
      <c r="AM29" s="15">
        <f t="shared" si="11"/>
        <v>13</v>
      </c>
      <c r="AN29" s="17"/>
      <c r="AO29" s="14">
        <v>5.0</v>
      </c>
      <c r="AP29" s="15">
        <f t="shared" si="12"/>
        <v>8</v>
      </c>
    </row>
    <row r="30">
      <c r="A30" s="1"/>
      <c r="B30" s="18"/>
      <c r="C30" s="21"/>
      <c r="D30" s="12" t="s">
        <v>57</v>
      </c>
      <c r="E30" s="12" t="s">
        <v>43</v>
      </c>
      <c r="F30" s="12" t="s">
        <v>27</v>
      </c>
      <c r="G30" s="13">
        <v>12.0</v>
      </c>
      <c r="H30" s="14">
        <v>0.0</v>
      </c>
      <c r="I30" s="15">
        <f t="shared" si="1"/>
        <v>12</v>
      </c>
      <c r="J30" s="17"/>
      <c r="K30" s="14">
        <v>0.0</v>
      </c>
      <c r="L30" s="15">
        <f t="shared" si="2"/>
        <v>12</v>
      </c>
      <c r="M30" s="17"/>
      <c r="N30" s="14">
        <v>0.0</v>
      </c>
      <c r="O30" s="15">
        <f t="shared" si="3"/>
        <v>12</v>
      </c>
      <c r="P30" s="17"/>
      <c r="Q30" s="14">
        <v>0.0</v>
      </c>
      <c r="R30" s="15">
        <f t="shared" si="4"/>
        <v>12</v>
      </c>
      <c r="S30" s="17"/>
      <c r="T30" s="14">
        <v>0.0</v>
      </c>
      <c r="U30" s="15">
        <f t="shared" si="5"/>
        <v>12</v>
      </c>
      <c r="V30" s="17"/>
      <c r="W30" s="14">
        <v>0.0</v>
      </c>
      <c r="X30" s="15">
        <f t="shared" si="6"/>
        <v>12</v>
      </c>
      <c r="Y30" s="17"/>
      <c r="Z30" s="14">
        <v>0.0</v>
      </c>
      <c r="AA30" s="15">
        <f t="shared" si="14"/>
        <v>12</v>
      </c>
      <c r="AB30" s="17"/>
      <c r="AC30" s="14">
        <v>0.0</v>
      </c>
      <c r="AD30" s="15">
        <f t="shared" si="8"/>
        <v>12</v>
      </c>
      <c r="AE30" s="17"/>
      <c r="AF30" s="14">
        <v>0.0</v>
      </c>
      <c r="AG30" s="15">
        <f t="shared" si="13"/>
        <v>12</v>
      </c>
      <c r="AH30" s="17"/>
      <c r="AI30" s="14">
        <v>0.0</v>
      </c>
      <c r="AJ30" s="15">
        <f t="shared" si="10"/>
        <v>12</v>
      </c>
      <c r="AK30" s="17"/>
      <c r="AL30" s="14">
        <v>0.0</v>
      </c>
      <c r="AM30" s="15">
        <f t="shared" si="11"/>
        <v>12</v>
      </c>
      <c r="AN30" s="17"/>
      <c r="AO30" s="14">
        <v>3.0</v>
      </c>
      <c r="AP30" s="15">
        <f t="shared" si="12"/>
        <v>9</v>
      </c>
    </row>
    <row r="31">
      <c r="A31" s="1"/>
      <c r="B31" s="18"/>
      <c r="C31" s="21"/>
      <c r="D31" s="12" t="s">
        <v>58</v>
      </c>
      <c r="E31" s="12" t="s">
        <v>26</v>
      </c>
      <c r="F31" s="12" t="s">
        <v>27</v>
      </c>
      <c r="G31" s="13">
        <v>12.0</v>
      </c>
      <c r="H31" s="14">
        <v>0.0</v>
      </c>
      <c r="I31" s="15">
        <f t="shared" si="1"/>
        <v>12</v>
      </c>
      <c r="J31" s="17"/>
      <c r="K31" s="14">
        <v>0.0</v>
      </c>
      <c r="L31" s="15">
        <f t="shared" si="2"/>
        <v>12</v>
      </c>
      <c r="M31" s="17"/>
      <c r="N31" s="14">
        <v>0.0</v>
      </c>
      <c r="O31" s="15">
        <f t="shared" si="3"/>
        <v>12</v>
      </c>
      <c r="P31" s="17"/>
      <c r="Q31" s="14">
        <v>0.0</v>
      </c>
      <c r="R31" s="15">
        <f t="shared" si="4"/>
        <v>12</v>
      </c>
      <c r="S31" s="17"/>
      <c r="T31" s="14">
        <v>0.0</v>
      </c>
      <c r="U31" s="15">
        <f t="shared" si="5"/>
        <v>12</v>
      </c>
      <c r="V31" s="17"/>
      <c r="W31" s="14">
        <v>0.0</v>
      </c>
      <c r="X31" s="15">
        <f t="shared" si="6"/>
        <v>12</v>
      </c>
      <c r="Y31" s="17"/>
      <c r="Z31" s="14">
        <v>0.0</v>
      </c>
      <c r="AA31" s="15">
        <f t="shared" si="14"/>
        <v>12</v>
      </c>
      <c r="AB31" s="17"/>
      <c r="AC31" s="14">
        <v>0.0</v>
      </c>
      <c r="AD31" s="15">
        <f t="shared" si="8"/>
        <v>12</v>
      </c>
      <c r="AE31" s="17"/>
      <c r="AF31" s="14">
        <v>0.0</v>
      </c>
      <c r="AG31" s="15">
        <f t="shared" si="13"/>
        <v>12</v>
      </c>
      <c r="AH31" s="17"/>
      <c r="AI31" s="14">
        <v>0.0</v>
      </c>
      <c r="AJ31" s="15">
        <f t="shared" si="10"/>
        <v>12</v>
      </c>
      <c r="AK31" s="17"/>
      <c r="AL31" s="14">
        <v>0.0</v>
      </c>
      <c r="AM31" s="15">
        <f t="shared" si="11"/>
        <v>12</v>
      </c>
      <c r="AN31" s="17"/>
      <c r="AO31" s="14">
        <v>3.0</v>
      </c>
      <c r="AP31" s="15">
        <f t="shared" si="12"/>
        <v>9</v>
      </c>
    </row>
  </sheetData>
  <mergeCells count="12">
    <mergeCell ref="AC4:AD4"/>
    <mergeCell ref="AF4:AG4"/>
    <mergeCell ref="AI4:AJ4"/>
    <mergeCell ref="AL4:AM4"/>
    <mergeCell ref="AO4:AP4"/>
    <mergeCell ref="H4:I4"/>
    <mergeCell ref="K4:L4"/>
    <mergeCell ref="N4:O4"/>
    <mergeCell ref="Q4:R4"/>
    <mergeCell ref="T4:U4"/>
    <mergeCell ref="W4:X4"/>
    <mergeCell ref="Z4:AA4"/>
  </mergeCells>
  <printOptions/>
  <pageMargins bottom="0.7480314960629921" footer="0.0" header="0.0" left="0.6299212598425197" right="0.6299212598425197" top="0.7480314960629921"/>
  <pageSetup orientation="landscape"/>
  <colBreaks count="3" manualBreakCount="3">
    <brk id="36" man="1"/>
    <brk id="21" man="1"/>
    <brk id="42"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59</v>
      </c>
      <c r="C1" s="1"/>
      <c r="D1" s="1"/>
      <c r="E1" s="1"/>
      <c r="F1" s="1"/>
      <c r="G1" s="1"/>
      <c r="H1" s="1"/>
      <c r="I1" s="1"/>
      <c r="J1" s="1"/>
      <c r="K1" s="1"/>
      <c r="L1" s="1"/>
      <c r="M1" s="1"/>
      <c r="N1" s="1"/>
      <c r="O1" s="1"/>
      <c r="P1" s="1"/>
      <c r="Q1" s="1"/>
      <c r="R1" s="1"/>
      <c r="S1" s="1"/>
      <c r="T1" s="1"/>
      <c r="U1" s="1"/>
      <c r="V1" s="1"/>
      <c r="W1" s="1"/>
      <c r="X1" s="1"/>
      <c r="Y1" s="1"/>
      <c r="Z1" s="1"/>
    </row>
    <row r="2">
      <c r="A2" s="1"/>
      <c r="B2" s="4"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23" t="s">
        <v>60</v>
      </c>
      <c r="C4" s="23" t="s">
        <v>61</v>
      </c>
      <c r="D4" s="1"/>
      <c r="E4" s="1"/>
      <c r="F4" s="1"/>
      <c r="G4" s="1"/>
      <c r="H4" s="1"/>
      <c r="I4" s="1"/>
      <c r="J4" s="1"/>
      <c r="K4" s="1"/>
      <c r="L4" s="1"/>
      <c r="M4" s="1"/>
      <c r="N4" s="1"/>
      <c r="O4" s="1"/>
      <c r="P4" s="1"/>
      <c r="Q4" s="1"/>
      <c r="R4" s="1"/>
      <c r="S4" s="1"/>
      <c r="T4" s="1"/>
      <c r="U4" s="1"/>
      <c r="V4" s="1"/>
      <c r="W4" s="1"/>
      <c r="X4" s="1"/>
      <c r="Y4" s="1"/>
      <c r="Z4" s="1"/>
    </row>
    <row r="5">
      <c r="A5" s="1"/>
      <c r="B5" s="18" t="str">
        <f>'Sprint Backlog'!B5</f>
        <v>Identificador (ID) de item de product backlog</v>
      </c>
      <c r="C5" s="18" t="s">
        <v>62</v>
      </c>
      <c r="D5" s="1"/>
      <c r="E5" s="1"/>
      <c r="F5" s="1"/>
      <c r="G5" s="1"/>
      <c r="H5" s="1"/>
      <c r="I5" s="1"/>
      <c r="J5" s="1"/>
      <c r="K5" s="1"/>
      <c r="L5" s="1"/>
      <c r="M5" s="1"/>
      <c r="N5" s="1"/>
      <c r="O5" s="1"/>
      <c r="P5" s="1"/>
      <c r="Q5" s="1"/>
      <c r="R5" s="1"/>
      <c r="S5" s="1"/>
      <c r="T5" s="1"/>
      <c r="U5" s="1"/>
      <c r="V5" s="1"/>
      <c r="W5" s="1"/>
      <c r="X5" s="1"/>
      <c r="Y5" s="1"/>
      <c r="Z5" s="1"/>
    </row>
    <row r="6">
      <c r="A6" s="1"/>
      <c r="B6" s="18" t="str">
        <f>'Sprint Backlog'!C5</f>
        <v>Enunciado del item de Product Backlog</v>
      </c>
      <c r="C6" s="18" t="s">
        <v>63</v>
      </c>
      <c r="D6" s="1"/>
      <c r="E6" s="1"/>
      <c r="F6" s="1"/>
      <c r="G6" s="1"/>
      <c r="H6" s="1"/>
      <c r="I6" s="1"/>
      <c r="J6" s="1"/>
      <c r="K6" s="1"/>
      <c r="L6" s="1"/>
      <c r="M6" s="1"/>
      <c r="N6" s="1"/>
      <c r="O6" s="1"/>
      <c r="P6" s="1"/>
      <c r="Q6" s="1"/>
      <c r="R6" s="1"/>
      <c r="S6" s="1"/>
      <c r="T6" s="1"/>
      <c r="U6" s="1"/>
      <c r="V6" s="1"/>
      <c r="W6" s="1"/>
      <c r="X6" s="1"/>
      <c r="Y6" s="1"/>
      <c r="Z6" s="1"/>
    </row>
    <row r="7">
      <c r="A7" s="1"/>
      <c r="B7" s="18" t="s">
        <v>17</v>
      </c>
      <c r="C7" s="18" t="s">
        <v>64</v>
      </c>
      <c r="D7" s="1"/>
      <c r="E7" s="1"/>
      <c r="F7" s="1"/>
      <c r="G7" s="1"/>
      <c r="H7" s="1"/>
      <c r="I7" s="1"/>
      <c r="J7" s="1"/>
      <c r="K7" s="1"/>
      <c r="L7" s="1"/>
      <c r="M7" s="1"/>
      <c r="N7" s="1"/>
      <c r="O7" s="1"/>
      <c r="P7" s="1"/>
      <c r="Q7" s="1"/>
      <c r="R7" s="1"/>
      <c r="S7" s="1"/>
      <c r="T7" s="1"/>
      <c r="U7" s="1"/>
      <c r="V7" s="1"/>
      <c r="W7" s="1"/>
      <c r="X7" s="1"/>
      <c r="Y7" s="1"/>
      <c r="Z7" s="1"/>
    </row>
    <row r="8">
      <c r="A8" s="1"/>
      <c r="B8" s="18" t="s">
        <v>18</v>
      </c>
      <c r="C8" s="18" t="s">
        <v>65</v>
      </c>
      <c r="D8" s="1"/>
      <c r="E8" s="1"/>
      <c r="F8" s="1"/>
      <c r="G8" s="1"/>
      <c r="H8" s="1"/>
      <c r="I8" s="1"/>
      <c r="J8" s="1"/>
      <c r="K8" s="1"/>
      <c r="L8" s="1"/>
      <c r="M8" s="1"/>
      <c r="N8" s="1"/>
      <c r="O8" s="1"/>
      <c r="P8" s="1"/>
      <c r="Q8" s="1"/>
      <c r="R8" s="1"/>
      <c r="S8" s="1"/>
      <c r="T8" s="1"/>
      <c r="U8" s="1"/>
      <c r="V8" s="1"/>
      <c r="W8" s="1"/>
      <c r="X8" s="1"/>
      <c r="Y8" s="1"/>
      <c r="Z8" s="1"/>
    </row>
    <row r="9">
      <c r="A9" s="1"/>
      <c r="B9" s="18" t="s">
        <v>19</v>
      </c>
      <c r="C9" s="18" t="s">
        <v>66</v>
      </c>
      <c r="D9" s="1"/>
      <c r="E9" s="1"/>
      <c r="F9" s="1"/>
      <c r="G9" s="1"/>
      <c r="H9" s="1"/>
      <c r="I9" s="1"/>
      <c r="J9" s="1"/>
      <c r="K9" s="1"/>
      <c r="L9" s="1"/>
      <c r="M9" s="1"/>
      <c r="N9" s="1"/>
      <c r="O9" s="1"/>
      <c r="P9" s="1"/>
      <c r="Q9" s="1"/>
      <c r="R9" s="1"/>
      <c r="S9" s="1"/>
      <c r="T9" s="1"/>
      <c r="U9" s="1"/>
      <c r="V9" s="1"/>
      <c r="W9" s="1"/>
      <c r="X9" s="1"/>
      <c r="Y9" s="1"/>
      <c r="Z9" s="1"/>
    </row>
    <row r="10">
      <c r="A10" s="1"/>
      <c r="B10" s="18" t="s">
        <v>20</v>
      </c>
      <c r="C10" s="18" t="s">
        <v>67</v>
      </c>
      <c r="D10" s="1"/>
      <c r="E10" s="1"/>
      <c r="F10" s="1"/>
      <c r="G10" s="1"/>
      <c r="H10" s="1"/>
      <c r="I10" s="1"/>
      <c r="J10" s="1"/>
      <c r="K10" s="1"/>
      <c r="L10" s="1"/>
      <c r="M10" s="1"/>
      <c r="N10" s="1"/>
      <c r="O10" s="1"/>
      <c r="P10" s="1"/>
      <c r="Q10" s="1"/>
      <c r="R10" s="1"/>
      <c r="S10" s="1"/>
      <c r="T10" s="1"/>
      <c r="U10" s="1"/>
      <c r="V10" s="1"/>
      <c r="W10" s="1"/>
      <c r="X10" s="1"/>
      <c r="Y10" s="1"/>
      <c r="Z10" s="1"/>
    </row>
    <row r="11">
      <c r="A11" s="1"/>
      <c r="B11" s="18" t="s">
        <v>68</v>
      </c>
      <c r="C11" s="18" t="s">
        <v>69</v>
      </c>
      <c r="D11" s="1"/>
      <c r="E11" s="1"/>
      <c r="F11" s="1"/>
      <c r="G11" s="1"/>
      <c r="H11" s="1"/>
      <c r="I11" s="1"/>
      <c r="J11" s="1"/>
      <c r="K11" s="1"/>
      <c r="L11" s="1"/>
      <c r="M11" s="1"/>
      <c r="N11" s="1"/>
      <c r="O11" s="1"/>
      <c r="P11" s="1"/>
      <c r="Q11" s="1"/>
      <c r="R11" s="1"/>
      <c r="S11" s="1"/>
      <c r="T11" s="1"/>
      <c r="U11" s="1"/>
      <c r="V11" s="1"/>
      <c r="W11" s="1"/>
      <c r="X11" s="1"/>
      <c r="Y11" s="1"/>
      <c r="Z11" s="1"/>
    </row>
    <row r="12">
      <c r="A12" s="1"/>
      <c r="B12" s="18" t="s">
        <v>21</v>
      </c>
      <c r="C12" s="18" t="s">
        <v>70</v>
      </c>
      <c r="D12" s="1"/>
      <c r="E12" s="1"/>
      <c r="F12" s="1"/>
      <c r="G12" s="1"/>
      <c r="H12" s="1"/>
      <c r="I12" s="1"/>
      <c r="J12" s="1"/>
      <c r="K12" s="1"/>
      <c r="L12" s="1"/>
      <c r="M12" s="1"/>
      <c r="N12" s="1"/>
      <c r="O12" s="1"/>
      <c r="P12" s="1"/>
      <c r="Q12" s="1"/>
      <c r="R12" s="1"/>
      <c r="S12" s="1"/>
      <c r="T12" s="1"/>
      <c r="U12" s="1"/>
      <c r="V12" s="1"/>
      <c r="W12" s="1"/>
      <c r="X12" s="1"/>
      <c r="Y12" s="1"/>
      <c r="Z12" s="1"/>
    </row>
    <row r="13">
      <c r="A13" s="1"/>
      <c r="B13" s="18" t="s">
        <v>22</v>
      </c>
      <c r="C13" s="18" t="s">
        <v>71</v>
      </c>
      <c r="D13" s="1"/>
      <c r="E13" s="1"/>
      <c r="F13" s="1"/>
      <c r="G13" s="1"/>
      <c r="H13" s="1"/>
      <c r="I13" s="1"/>
      <c r="J13" s="1"/>
      <c r="K13" s="1"/>
      <c r="L13" s="1"/>
      <c r="M13" s="1"/>
      <c r="N13" s="1"/>
      <c r="O13" s="1"/>
      <c r="P13" s="1"/>
      <c r="Q13" s="1"/>
      <c r="R13" s="1"/>
      <c r="S13" s="1"/>
      <c r="T13" s="1"/>
      <c r="U13" s="1"/>
      <c r="V13" s="1"/>
      <c r="W13" s="1"/>
      <c r="X13" s="1"/>
      <c r="Y13" s="1"/>
      <c r="Z13" s="1"/>
    </row>
    <row r="14">
      <c r="A14" s="1"/>
      <c r="B14" s="18" t="s">
        <v>72</v>
      </c>
      <c r="C14" s="18" t="s">
        <v>73</v>
      </c>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