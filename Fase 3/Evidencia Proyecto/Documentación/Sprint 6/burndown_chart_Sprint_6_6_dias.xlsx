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aF1QT2vqX01fY0GP19TYNPXunXqUPH7d5+Yn0rsz2a0="/>
    </ext>
  </extLst>
</workbook>
</file>

<file path=xl/sharedStrings.xml><?xml version="1.0" encoding="utf-8"?>
<sst xmlns="http://schemas.openxmlformats.org/spreadsheetml/2006/main" count="13" uniqueCount="13">
  <si>
    <t>burndown_chart_Sprint_6_6_dias</t>
  </si>
  <si>
    <t>Modifique la zona con color verde</t>
  </si>
  <si>
    <t>burndown_chart_Sprint_6_dias</t>
  </si>
  <si>
    <t>horas estimadas</t>
  </si>
  <si>
    <t>DIA</t>
  </si>
  <si>
    <t>Total</t>
  </si>
  <si>
    <t>E1-h13</t>
  </si>
  <si>
    <t>E1-h14</t>
  </si>
  <si>
    <t>E4-H34</t>
  </si>
  <si>
    <t>E4-h40</t>
  </si>
  <si>
    <t>(eliminar columnas)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</si>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</sst>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 vertical="bottom"/>
    </xf>
    <xf borderId="9" fillId="3" fontId="2" numFmtId="0" xfId="0" applyAlignment="1" applyBorder="1" applyFont="1">
      <alignment horizontal="center" readingOrder="0" shrinkToFit="0" vertical="bottom" wrapText="1"/>
    </xf>
    <xf borderId="8" fillId="3" fontId="2" numFmtId="0" xfId="0" applyAlignment="1" applyBorder="1" applyFont="1">
      <alignment horizontal="right" readingOrder="0" vertical="bottom"/>
    </xf>
    <xf borderId="1" fillId="0" fontId="2" numFmtId="0" xfId="0" applyBorder="1" applyFont="1"/>
    <xf borderId="7" fillId="0" fontId="2" numFmtId="0" xfId="0" applyBorder="1" applyFont="1"/>
    <xf borderId="0" fillId="0" fontId="2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Ejemplo1!$C$5:$N$5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Ejemplo1!$D$10:$O$10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Ejemplo1!$D$12:$O$12</c:f>
              <c:numCache/>
            </c:numRef>
          </c:val>
          <c:smooth val="0"/>
        </c:ser>
        <c:axId val="903407927"/>
        <c:axId val="2119135460"/>
      </c:lineChart>
      <c:catAx>
        <c:axId val="903407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9135460"/>
      </c:catAx>
      <c:valAx>
        <c:axId val="2119135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340792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1</xdr:row>
      <xdr:rowOff>142875</xdr:rowOff>
    </xdr:from>
    <xdr:ext cx="3924300" cy="3895725"/>
    <xdr:graphicFrame>
      <xdr:nvGraphicFramePr>
        <xdr:cNvPr id="109394467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4" width="3.43"/>
    <col customWidth="1" min="15" max="21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4.25" customHeight="1">
      <c r="A3" s="3" t="s">
        <v>2</v>
      </c>
      <c r="B3" s="4" t="s">
        <v>3</v>
      </c>
      <c r="C3" s="5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4" t="s">
        <v>5</v>
      </c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>
        <v>6.0</v>
      </c>
      <c r="I4" s="9">
        <v>7.0</v>
      </c>
      <c r="J4" s="9">
        <v>8.0</v>
      </c>
      <c r="K4" s="9">
        <v>9.0</v>
      </c>
      <c r="L4" s="9">
        <v>10.0</v>
      </c>
      <c r="M4" s="9">
        <v>11.0</v>
      </c>
      <c r="N4" s="9">
        <v>12.0</v>
      </c>
      <c r="O4" s="10"/>
    </row>
    <row r="5" ht="14.25" customHeight="1">
      <c r="A5" s="11" t="s">
        <v>6</v>
      </c>
      <c r="B5" s="12">
        <v>35.0</v>
      </c>
      <c r="C5" s="13">
        <v>4.0</v>
      </c>
      <c r="D5" s="13">
        <v>12.0</v>
      </c>
      <c r="E5" s="13">
        <v>8.0</v>
      </c>
      <c r="F5" s="13">
        <v>4.0</v>
      </c>
      <c r="G5" s="13">
        <v>2.0</v>
      </c>
      <c r="H5" s="13">
        <v>5.0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4">
        <f t="shared" ref="O5:O8" si="1">SUM(C5:N5)</f>
        <v>35</v>
      </c>
    </row>
    <row r="6" ht="14.25" customHeight="1">
      <c r="A6" s="11" t="s">
        <v>7</v>
      </c>
      <c r="B6" s="12">
        <v>39.0</v>
      </c>
      <c r="C6" s="13">
        <v>5.0</v>
      </c>
      <c r="D6" s="13">
        <v>6.0</v>
      </c>
      <c r="E6" s="13">
        <v>0.0</v>
      </c>
      <c r="F6" s="13">
        <v>9.0</v>
      </c>
      <c r="G6" s="13">
        <v>12.0</v>
      </c>
      <c r="H6" s="13">
        <v>5.0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5">
        <f t="shared" si="1"/>
        <v>37</v>
      </c>
    </row>
    <row r="7" ht="14.25" customHeight="1">
      <c r="A7" s="11" t="s">
        <v>8</v>
      </c>
      <c r="B7" s="12">
        <v>38.0</v>
      </c>
      <c r="C7" s="13">
        <v>5.0</v>
      </c>
      <c r="D7" s="13">
        <v>10.0</v>
      </c>
      <c r="E7" s="13">
        <v>7.0</v>
      </c>
      <c r="F7" s="13">
        <v>6.0</v>
      </c>
      <c r="G7" s="13">
        <v>5.0</v>
      </c>
      <c r="H7" s="13">
        <v>3.0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5">
        <f t="shared" si="1"/>
        <v>36</v>
      </c>
    </row>
    <row r="8" ht="14.25" customHeight="1">
      <c r="A8" s="11" t="s">
        <v>9</v>
      </c>
      <c r="B8" s="12">
        <v>39.0</v>
      </c>
      <c r="C8" s="13">
        <v>0.0</v>
      </c>
      <c r="D8" s="13">
        <v>0.0</v>
      </c>
      <c r="E8" s="13">
        <v>10.0</v>
      </c>
      <c r="F8" s="13">
        <v>8.0</v>
      </c>
      <c r="G8" s="13">
        <v>12.0</v>
      </c>
      <c r="H8" s="13">
        <v>8.0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5">
        <f t="shared" si="1"/>
        <v>38</v>
      </c>
    </row>
    <row r="9" ht="14.25" customHeight="1">
      <c r="A9" s="2"/>
      <c r="B9" s="2"/>
      <c r="C9" s="2"/>
      <c r="D9" s="2"/>
      <c r="E9" s="2"/>
      <c r="F9" s="2"/>
      <c r="G9" s="2"/>
      <c r="H9" s="2"/>
      <c r="I9" s="16" t="s">
        <v>10</v>
      </c>
      <c r="O9" s="2"/>
    </row>
    <row r="10" ht="14.25" customHeight="1">
      <c r="A10" s="2"/>
      <c r="B10" s="17">
        <f>SUM(B5:B8)</f>
        <v>151</v>
      </c>
      <c r="C10" s="17">
        <f>B10</f>
        <v>151</v>
      </c>
      <c r="D10" s="17">
        <f t="shared" ref="D10:O10" si="2">C10-SUM(C5:C8)</f>
        <v>137</v>
      </c>
      <c r="E10" s="17">
        <f t="shared" si="2"/>
        <v>109</v>
      </c>
      <c r="F10" s="17">
        <f t="shared" si="2"/>
        <v>84</v>
      </c>
      <c r="G10" s="17">
        <f t="shared" si="2"/>
        <v>57</v>
      </c>
      <c r="H10" s="17">
        <f t="shared" si="2"/>
        <v>26</v>
      </c>
      <c r="I10" s="17">
        <f t="shared" si="2"/>
        <v>5</v>
      </c>
      <c r="J10" s="17">
        <f t="shared" si="2"/>
        <v>5</v>
      </c>
      <c r="K10" s="17">
        <f t="shared" si="2"/>
        <v>5</v>
      </c>
      <c r="L10" s="17">
        <f t="shared" si="2"/>
        <v>5</v>
      </c>
      <c r="M10" s="17">
        <f t="shared" si="2"/>
        <v>5</v>
      </c>
      <c r="N10" s="17">
        <f t="shared" si="2"/>
        <v>5</v>
      </c>
      <c r="O10" s="17">
        <f t="shared" si="2"/>
        <v>5</v>
      </c>
    </row>
    <row r="11" ht="14.25" customHeight="1">
      <c r="A11" s="18" t="s">
        <v>11</v>
      </c>
      <c r="B11" s="2">
        <f t="shared" ref="B11:N11" si="3">C10</f>
        <v>151</v>
      </c>
      <c r="C11" s="2">
        <f t="shared" si="3"/>
        <v>137</v>
      </c>
      <c r="D11" s="2">
        <f t="shared" si="3"/>
        <v>109</v>
      </c>
      <c r="E11" s="2">
        <f t="shared" si="3"/>
        <v>84</v>
      </c>
      <c r="F11" s="2">
        <f t="shared" si="3"/>
        <v>57</v>
      </c>
      <c r="G11" s="2">
        <f t="shared" si="3"/>
        <v>26</v>
      </c>
      <c r="H11" s="2">
        <f t="shared" si="3"/>
        <v>5</v>
      </c>
      <c r="I11" s="2">
        <f t="shared" si="3"/>
        <v>5</v>
      </c>
      <c r="J11" s="2">
        <f t="shared" si="3"/>
        <v>5</v>
      </c>
      <c r="K11" s="2">
        <f t="shared" si="3"/>
        <v>5</v>
      </c>
      <c r="L11" s="2">
        <f t="shared" si="3"/>
        <v>5</v>
      </c>
      <c r="M11" s="2">
        <f t="shared" si="3"/>
        <v>5</v>
      </c>
      <c r="N11" s="2">
        <f t="shared" si="3"/>
        <v>5</v>
      </c>
      <c r="O11" s="2"/>
    </row>
    <row r="12" ht="14.25" customHeight="1">
      <c r="A12" s="2"/>
      <c r="B12" s="17">
        <f>SUM(B5:B8)</f>
        <v>151</v>
      </c>
      <c r="C12" s="17">
        <f>SUM(B5:B8)</f>
        <v>151</v>
      </c>
      <c r="D12" s="17">
        <f t="shared" ref="D12:O12" si="4">C12-(SUM($B$5:$B$8)/12)</f>
        <v>138.4166667</v>
      </c>
      <c r="E12" s="17">
        <f t="shared" si="4"/>
        <v>125.8333333</v>
      </c>
      <c r="F12" s="17">
        <f t="shared" si="4"/>
        <v>113.25</v>
      </c>
      <c r="G12" s="17">
        <f t="shared" si="4"/>
        <v>100.6666667</v>
      </c>
      <c r="H12" s="17">
        <f t="shared" si="4"/>
        <v>88.08333333</v>
      </c>
      <c r="I12" s="17">
        <f t="shared" si="4"/>
        <v>75.5</v>
      </c>
      <c r="J12" s="17">
        <f t="shared" si="4"/>
        <v>62.91666667</v>
      </c>
      <c r="K12" s="17">
        <f t="shared" si="4"/>
        <v>50.33333333</v>
      </c>
      <c r="L12" s="17">
        <f t="shared" si="4"/>
        <v>37.75</v>
      </c>
      <c r="M12" s="17">
        <f t="shared" si="4"/>
        <v>25.16666667</v>
      </c>
      <c r="N12" s="17">
        <f t="shared" si="4"/>
        <v>12.58333333</v>
      </c>
      <c r="O12" s="17">
        <f t="shared" si="4"/>
        <v>0</v>
      </c>
    </row>
    <row r="13" ht="14.25" customHeight="1">
      <c r="A13" s="18" t="s">
        <v>12</v>
      </c>
      <c r="B13" s="2">
        <f>B12</f>
        <v>151</v>
      </c>
      <c r="C13" s="2">
        <f t="shared" ref="C13:N13" si="5">D12</f>
        <v>138.4166667</v>
      </c>
      <c r="D13" s="2">
        <f t="shared" si="5"/>
        <v>125.8333333</v>
      </c>
      <c r="E13" s="2">
        <f t="shared" si="5"/>
        <v>113.25</v>
      </c>
      <c r="F13" s="2">
        <f t="shared" si="5"/>
        <v>100.6666667</v>
      </c>
      <c r="G13" s="2">
        <f t="shared" si="5"/>
        <v>88.08333333</v>
      </c>
      <c r="H13" s="2">
        <f t="shared" si="5"/>
        <v>75.5</v>
      </c>
      <c r="I13" s="2">
        <f t="shared" si="5"/>
        <v>62.91666667</v>
      </c>
      <c r="J13" s="2">
        <f t="shared" si="5"/>
        <v>50.33333333</v>
      </c>
      <c r="K13" s="2">
        <f t="shared" si="5"/>
        <v>37.75</v>
      </c>
      <c r="L13" s="2">
        <f t="shared" si="5"/>
        <v>25.16666667</v>
      </c>
      <c r="M13" s="2">
        <f t="shared" si="5"/>
        <v>12.58333333</v>
      </c>
      <c r="N13" s="2">
        <f t="shared" si="5"/>
        <v>0</v>
      </c>
      <c r="O13" s="2"/>
    </row>
    <row r="14" ht="14.25" customHeight="1">
      <c r="A14" s="2"/>
      <c r="B14" s="1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4.25" customHeight="1">
      <c r="A15" s="2"/>
      <c r="B15" s="19"/>
      <c r="C15" s="2"/>
      <c r="D15" s="2"/>
      <c r="E15" s="2"/>
      <c r="F15" s="2"/>
      <c r="G15" s="19"/>
      <c r="H15" s="2"/>
      <c r="I15" s="2"/>
      <c r="J15" s="2"/>
      <c r="K15" s="2"/>
      <c r="L15" s="2"/>
      <c r="M15" s="2"/>
      <c r="N15" s="2"/>
      <c r="O15" s="2"/>
    </row>
    <row r="16" ht="14.25" customHeight="1">
      <c r="A16" s="2"/>
      <c r="B16" s="19"/>
      <c r="C16" s="2"/>
      <c r="D16" s="2"/>
      <c r="E16" s="2"/>
      <c r="F16" s="2"/>
      <c r="G16" s="19"/>
      <c r="H16" s="2"/>
      <c r="I16" s="2"/>
      <c r="J16" s="2"/>
      <c r="K16" s="2"/>
      <c r="L16" s="2"/>
      <c r="M16" s="2"/>
      <c r="N16" s="2"/>
      <c r="O16" s="2"/>
    </row>
    <row r="17" ht="14.25" customHeight="1">
      <c r="A17" s="2"/>
      <c r="B17" s="19"/>
      <c r="C17" s="2"/>
      <c r="D17" s="2"/>
      <c r="E17" s="2"/>
      <c r="F17" s="2"/>
      <c r="G17" s="19"/>
      <c r="H17" s="2"/>
      <c r="I17" s="2"/>
    </row>
    <row r="18">
      <c r="A18" s="2"/>
      <c r="B18" s="19"/>
      <c r="C18" s="2"/>
      <c r="D18" s="2"/>
      <c r="E18" s="2"/>
      <c r="F18" s="2"/>
      <c r="G18" s="19"/>
      <c r="H18" s="2"/>
      <c r="I18" s="2"/>
    </row>
    <row r="19" ht="14.25" customHeight="1">
      <c r="A19" s="2"/>
      <c r="B19" s="19"/>
      <c r="C19" s="2"/>
      <c r="D19" s="2"/>
      <c r="E19" s="2"/>
      <c r="F19" s="2"/>
      <c r="G19" s="19"/>
      <c r="H19" s="2"/>
      <c r="I19" s="2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</sheetData>
  <mergeCells count="5">
    <mergeCell ref="A3:A4"/>
    <mergeCell ref="B3:B4"/>
    <mergeCell ref="C3:N3"/>
    <mergeCell ref="O3:O4"/>
    <mergeCell ref="I9:N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