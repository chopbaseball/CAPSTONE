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18ZcCVpVrEZkylgRqG8rqcGMXkCQzfO1ydL+0Mr9GAc="/>
    </ext>
  </extLst>
</workbook>
</file>

<file path=xl/sharedStrings.xml><?xml version="1.0" encoding="utf-8"?>
<sst xmlns="http://schemas.openxmlformats.org/spreadsheetml/2006/main" count="20" uniqueCount="20">
  <si>
    <t>burndown_chart_Sprint_9_6_dias</t>
  </si>
  <si>
    <t>Modifique la zona con color verde</t>
  </si>
  <si>
    <t>burndown_chart_Sprint_12_dias</t>
  </si>
  <si>
    <t>horas estimadas</t>
  </si>
  <si>
    <t>DIA</t>
  </si>
  <si>
    <t>Total</t>
  </si>
  <si>
    <t>E8-H1</t>
  </si>
  <si>
    <t>E2-H17</t>
  </si>
  <si>
    <t>E3-H18</t>
  </si>
  <si>
    <t>E3-H19</t>
  </si>
  <si>
    <t>E3-H20</t>
  </si>
  <si>
    <t>E3-H21</t>
  </si>
  <si>
    <t>E4-H31</t>
  </si>
  <si>
    <t>E6-H54</t>
  </si>
  <si>
    <t>E6-H55</t>
  </si>
  <si>
    <t>E6-H56</t>
  </si>
  <si>
    <t>E6-H57</t>
  </si>
  <si>
    <t>E8-H60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</si>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</sst>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 vertical="bottom"/>
    </xf>
    <xf borderId="9" fillId="3" fontId="2" numFmtId="0" xfId="0" applyAlignment="1" applyBorder="1" applyFont="1">
      <alignment horizontal="center" shrinkToFit="0" vertical="bottom" wrapText="1"/>
    </xf>
    <xf borderId="8" fillId="3" fontId="2" numFmtId="0" xfId="0" applyAlignment="1" applyBorder="1" applyFont="1">
      <alignment horizontal="right" readingOrder="0" vertical="bottom"/>
    </xf>
    <xf borderId="8" fillId="3" fontId="2" numFmtId="0" xfId="0" applyAlignment="1" applyBorder="1" applyFont="1">
      <alignment horizontal="right" vertical="bottom"/>
    </xf>
    <xf borderId="1" fillId="0" fontId="2" numFmtId="0" xfId="0" applyBorder="1" applyFont="1"/>
    <xf borderId="7" fillId="0" fontId="2" numFmtId="0" xfId="0" applyBorder="1" applyFont="1"/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Ejemplo1!$C$5:$N$5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Ejemplo1!$D$18:$O$18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Ejemplo1!$D$20:$O$20</c:f>
              <c:numCache/>
            </c:numRef>
          </c:val>
          <c:smooth val="0"/>
        </c:ser>
        <c:axId val="772933919"/>
        <c:axId val="1610916574"/>
      </c:lineChart>
      <c:catAx>
        <c:axId val="772933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0916574"/>
      </c:catAx>
      <c:valAx>
        <c:axId val="1610916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293391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161925</xdr:colOff>
      <xdr:row>1</xdr:row>
      <xdr:rowOff>142875</xdr:rowOff>
    </xdr:from>
    <xdr:ext cx="3924300" cy="3895725"/>
    <xdr:graphicFrame>
      <xdr:nvGraphicFramePr>
        <xdr:cNvPr id="109394467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14" width="3.43"/>
    <col customWidth="1" min="15" max="21" width="10.71"/>
  </cols>
  <sheetData>
    <row r="1" ht="27.7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/>
      <c r="J4" s="8"/>
      <c r="K4" s="8"/>
      <c r="L4" s="8"/>
      <c r="M4" s="8"/>
      <c r="N4" s="8"/>
      <c r="O4" s="9"/>
    </row>
    <row r="5" ht="14.25" customHeight="1">
      <c r="A5" s="10" t="s">
        <v>6</v>
      </c>
      <c r="B5" s="11">
        <v>34.0</v>
      </c>
      <c r="C5" s="12">
        <v>14.0</v>
      </c>
      <c r="D5" s="12">
        <v>7.0</v>
      </c>
      <c r="E5" s="12">
        <v>0.0</v>
      </c>
      <c r="F5" s="12">
        <v>0.0</v>
      </c>
      <c r="G5" s="12">
        <v>0.0</v>
      </c>
      <c r="H5" s="12">
        <v>0.0</v>
      </c>
      <c r="I5" s="12">
        <v>0.0</v>
      </c>
      <c r="J5" s="13">
        <v>0.0</v>
      </c>
      <c r="K5" s="13">
        <v>0.0</v>
      </c>
      <c r="L5" s="13">
        <v>0.0</v>
      </c>
      <c r="M5" s="13">
        <v>0.0</v>
      </c>
      <c r="N5" s="13">
        <v>0.0</v>
      </c>
      <c r="O5" s="14">
        <f t="shared" ref="O5:O16" si="1">SUM(C5:N5)</f>
        <v>21</v>
      </c>
    </row>
    <row r="6" ht="14.25" customHeight="1">
      <c r="A6" s="10" t="s">
        <v>7</v>
      </c>
      <c r="B6" s="11">
        <v>25.0</v>
      </c>
      <c r="C6" s="12">
        <v>0.0</v>
      </c>
      <c r="D6" s="12">
        <v>5.0</v>
      </c>
      <c r="E6" s="12">
        <v>0.0</v>
      </c>
      <c r="F6" s="12">
        <v>0.0</v>
      </c>
      <c r="G6" s="12">
        <v>0.0</v>
      </c>
      <c r="H6" s="12">
        <v>0.0</v>
      </c>
      <c r="I6" s="12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5">
        <f t="shared" si="1"/>
        <v>5</v>
      </c>
    </row>
    <row r="7" ht="14.25" customHeight="1">
      <c r="A7" s="10" t="s">
        <v>8</v>
      </c>
      <c r="B7" s="11">
        <v>32.0</v>
      </c>
      <c r="C7" s="12">
        <v>6.0</v>
      </c>
      <c r="D7" s="12">
        <v>13.0</v>
      </c>
      <c r="E7" s="12">
        <v>7.0</v>
      </c>
      <c r="F7" s="12">
        <v>2.0</v>
      </c>
      <c r="G7" s="12">
        <v>0.0</v>
      </c>
      <c r="H7" s="12">
        <v>0.0</v>
      </c>
      <c r="I7" s="12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0.0</v>
      </c>
      <c r="O7" s="15">
        <f t="shared" si="1"/>
        <v>28</v>
      </c>
    </row>
    <row r="8" ht="14.25" customHeight="1">
      <c r="A8" s="10" t="s">
        <v>9</v>
      </c>
      <c r="B8" s="11">
        <v>26.0</v>
      </c>
      <c r="C8" s="12">
        <v>6.0</v>
      </c>
      <c r="D8" s="12">
        <v>5.0</v>
      </c>
      <c r="E8" s="12">
        <v>8.0</v>
      </c>
      <c r="F8" s="12">
        <v>3.0</v>
      </c>
      <c r="G8" s="12">
        <v>6.0</v>
      </c>
      <c r="H8" s="12">
        <v>0.0</v>
      </c>
      <c r="I8" s="12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5">
        <f t="shared" si="1"/>
        <v>28</v>
      </c>
    </row>
    <row r="9" ht="14.25" customHeight="1">
      <c r="A9" s="10" t="s">
        <v>10</v>
      </c>
      <c r="B9" s="11">
        <v>31.0</v>
      </c>
      <c r="C9" s="12">
        <v>12.0</v>
      </c>
      <c r="D9" s="12">
        <v>0.0</v>
      </c>
      <c r="E9" s="12">
        <v>4.0</v>
      </c>
      <c r="F9" s="12">
        <v>0.0</v>
      </c>
      <c r="G9" s="12">
        <v>0.0</v>
      </c>
      <c r="H9" s="12">
        <v>0.0</v>
      </c>
      <c r="I9" s="12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0.0</v>
      </c>
      <c r="O9" s="15">
        <f t="shared" si="1"/>
        <v>16</v>
      </c>
    </row>
    <row r="10" ht="14.25" customHeight="1">
      <c r="A10" s="10" t="s">
        <v>11</v>
      </c>
      <c r="B10" s="11">
        <v>30.0</v>
      </c>
      <c r="C10" s="12">
        <v>8.0</v>
      </c>
      <c r="D10" s="12">
        <v>0.0</v>
      </c>
      <c r="E10" s="12">
        <v>8.0</v>
      </c>
      <c r="F10" s="12">
        <v>14.0</v>
      </c>
      <c r="G10" s="12">
        <v>2.0</v>
      </c>
      <c r="H10" s="12">
        <v>0.0</v>
      </c>
      <c r="I10" s="12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5">
        <f t="shared" si="1"/>
        <v>32</v>
      </c>
    </row>
    <row r="11" ht="14.25" customHeight="1">
      <c r="A11" s="10" t="s">
        <v>12</v>
      </c>
      <c r="B11" s="11">
        <v>38.0</v>
      </c>
      <c r="C11" s="12">
        <v>8.0</v>
      </c>
      <c r="D11" s="12">
        <v>0.0</v>
      </c>
      <c r="E11" s="12">
        <v>0.0</v>
      </c>
      <c r="F11" s="12">
        <v>12.0</v>
      </c>
      <c r="G11" s="12">
        <v>4.0</v>
      </c>
      <c r="H11" s="12">
        <v>0.0</v>
      </c>
      <c r="I11" s="12">
        <v>0.0</v>
      </c>
      <c r="J11" s="13">
        <v>0.0</v>
      </c>
      <c r="K11" s="13">
        <v>0.0</v>
      </c>
      <c r="L11" s="13">
        <v>0.0</v>
      </c>
      <c r="M11" s="13">
        <v>0.0</v>
      </c>
      <c r="N11" s="13">
        <v>0.0</v>
      </c>
      <c r="O11" s="15">
        <f t="shared" si="1"/>
        <v>24</v>
      </c>
    </row>
    <row r="12" ht="14.25" customHeight="1">
      <c r="A12" s="10" t="s">
        <v>13</v>
      </c>
      <c r="B12" s="11">
        <v>26.0</v>
      </c>
      <c r="C12" s="12">
        <v>2.0</v>
      </c>
      <c r="D12" s="12">
        <v>9.0</v>
      </c>
      <c r="E12" s="12">
        <v>4.0</v>
      </c>
      <c r="F12" s="12">
        <v>9.0</v>
      </c>
      <c r="G12" s="12">
        <v>0.0</v>
      </c>
      <c r="H12" s="12">
        <v>0.0</v>
      </c>
      <c r="I12" s="12">
        <v>0.0</v>
      </c>
      <c r="J12" s="13">
        <v>0.0</v>
      </c>
      <c r="K12" s="13">
        <v>0.0</v>
      </c>
      <c r="L12" s="13">
        <v>0.0</v>
      </c>
      <c r="M12" s="13">
        <v>0.0</v>
      </c>
      <c r="N12" s="13">
        <v>0.0</v>
      </c>
      <c r="O12" s="15">
        <f t="shared" si="1"/>
        <v>24</v>
      </c>
    </row>
    <row r="13" ht="14.25" customHeight="1">
      <c r="A13" s="10" t="s">
        <v>14</v>
      </c>
      <c r="B13" s="11">
        <v>29.0</v>
      </c>
      <c r="C13" s="12">
        <v>0.0</v>
      </c>
      <c r="D13" s="12">
        <v>0.0</v>
      </c>
      <c r="E13" s="12">
        <v>0.0</v>
      </c>
      <c r="F13" s="12">
        <v>4.0</v>
      </c>
      <c r="G13" s="12">
        <v>14.0</v>
      </c>
      <c r="H13" s="12">
        <v>6.0</v>
      </c>
      <c r="I13" s="12">
        <v>0.0</v>
      </c>
      <c r="J13" s="13">
        <v>0.0</v>
      </c>
      <c r="K13" s="13">
        <v>0.0</v>
      </c>
      <c r="L13" s="13">
        <v>0.0</v>
      </c>
      <c r="M13" s="13">
        <v>0.0</v>
      </c>
      <c r="N13" s="13">
        <v>0.0</v>
      </c>
      <c r="O13" s="15">
        <f t="shared" si="1"/>
        <v>24</v>
      </c>
    </row>
    <row r="14" ht="14.25" customHeight="1">
      <c r="A14" s="10" t="s">
        <v>15</v>
      </c>
      <c r="B14" s="11">
        <v>30.0</v>
      </c>
      <c r="C14" s="12">
        <v>0.0</v>
      </c>
      <c r="D14" s="12">
        <v>0.0</v>
      </c>
      <c r="E14" s="12">
        <v>0.0</v>
      </c>
      <c r="F14" s="12">
        <v>5.0</v>
      </c>
      <c r="G14" s="12">
        <v>15.0</v>
      </c>
      <c r="H14" s="12">
        <v>3.0</v>
      </c>
      <c r="I14" s="12">
        <v>0.0</v>
      </c>
      <c r="J14" s="13">
        <v>0.0</v>
      </c>
      <c r="K14" s="13">
        <v>0.0</v>
      </c>
      <c r="L14" s="13">
        <v>0.0</v>
      </c>
      <c r="M14" s="13">
        <v>0.0</v>
      </c>
      <c r="N14" s="13">
        <v>0.0</v>
      </c>
      <c r="O14" s="15">
        <f t="shared" si="1"/>
        <v>23</v>
      </c>
    </row>
    <row r="15" ht="14.25" customHeight="1">
      <c r="A15" s="10" t="s">
        <v>16</v>
      </c>
      <c r="B15" s="11">
        <v>29.0</v>
      </c>
      <c r="C15" s="12">
        <v>8.0</v>
      </c>
      <c r="D15" s="12">
        <v>0.0</v>
      </c>
      <c r="E15" s="12">
        <v>0.0</v>
      </c>
      <c r="F15" s="12">
        <v>5.0</v>
      </c>
      <c r="G15" s="12">
        <v>0.0</v>
      </c>
      <c r="H15" s="12">
        <v>18.0</v>
      </c>
      <c r="I15" s="12">
        <v>0.0</v>
      </c>
      <c r="J15" s="13">
        <v>0.0</v>
      </c>
      <c r="K15" s="13">
        <v>0.0</v>
      </c>
      <c r="L15" s="13">
        <v>0.0</v>
      </c>
      <c r="M15" s="13">
        <v>0.0</v>
      </c>
      <c r="N15" s="13">
        <v>0.0</v>
      </c>
      <c r="O15" s="15">
        <f t="shared" si="1"/>
        <v>31</v>
      </c>
    </row>
    <row r="16" ht="14.25" customHeight="1">
      <c r="A16" s="10" t="s">
        <v>17</v>
      </c>
      <c r="B16" s="11">
        <v>30.0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13.0</v>
      </c>
      <c r="I16" s="12">
        <v>0.0</v>
      </c>
      <c r="J16" s="13">
        <v>0.0</v>
      </c>
      <c r="K16" s="13">
        <v>0.0</v>
      </c>
      <c r="L16" s="13">
        <v>0.0</v>
      </c>
      <c r="M16" s="13">
        <v>0.0</v>
      </c>
      <c r="N16" s="13">
        <v>0.0</v>
      </c>
      <c r="O16" s="15">
        <f t="shared" si="1"/>
        <v>13</v>
      </c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4.25" customHeight="1">
      <c r="A18" s="2"/>
      <c r="B18" s="16">
        <f>SUM(B5:B16)</f>
        <v>360</v>
      </c>
      <c r="C18" s="16">
        <f>B18</f>
        <v>360</v>
      </c>
      <c r="D18" s="16">
        <f t="shared" ref="D18:O18" si="2">C18-SUM(C5:C16)</f>
        <v>296</v>
      </c>
      <c r="E18" s="16">
        <f t="shared" si="2"/>
        <v>257</v>
      </c>
      <c r="F18" s="16">
        <f t="shared" si="2"/>
        <v>226</v>
      </c>
      <c r="G18" s="16">
        <f t="shared" si="2"/>
        <v>172</v>
      </c>
      <c r="H18" s="16">
        <f t="shared" si="2"/>
        <v>131</v>
      </c>
      <c r="I18" s="16">
        <f t="shared" si="2"/>
        <v>91</v>
      </c>
      <c r="J18" s="16">
        <f t="shared" si="2"/>
        <v>91</v>
      </c>
      <c r="K18" s="16">
        <f t="shared" si="2"/>
        <v>91</v>
      </c>
      <c r="L18" s="16">
        <f t="shared" si="2"/>
        <v>91</v>
      </c>
      <c r="M18" s="16">
        <f t="shared" si="2"/>
        <v>91</v>
      </c>
      <c r="N18" s="16">
        <f t="shared" si="2"/>
        <v>91</v>
      </c>
      <c r="O18" s="16">
        <f t="shared" si="2"/>
        <v>91</v>
      </c>
    </row>
    <row r="19" ht="14.25" customHeight="1">
      <c r="A19" s="17" t="s">
        <v>18</v>
      </c>
      <c r="B19" s="2">
        <f t="shared" ref="B19:N19" si="3">C18</f>
        <v>360</v>
      </c>
      <c r="C19" s="2">
        <f t="shared" si="3"/>
        <v>296</v>
      </c>
      <c r="D19" s="2">
        <f t="shared" si="3"/>
        <v>257</v>
      </c>
      <c r="E19" s="2">
        <f t="shared" si="3"/>
        <v>226</v>
      </c>
      <c r="F19" s="2">
        <f t="shared" si="3"/>
        <v>172</v>
      </c>
      <c r="G19" s="2">
        <f t="shared" si="3"/>
        <v>131</v>
      </c>
      <c r="H19" s="2">
        <f t="shared" si="3"/>
        <v>91</v>
      </c>
      <c r="I19" s="2">
        <f t="shared" si="3"/>
        <v>91</v>
      </c>
      <c r="J19" s="2">
        <f t="shared" si="3"/>
        <v>91</v>
      </c>
      <c r="K19" s="2">
        <f t="shared" si="3"/>
        <v>91</v>
      </c>
      <c r="L19" s="2">
        <f t="shared" si="3"/>
        <v>91</v>
      </c>
      <c r="M19" s="2">
        <f t="shared" si="3"/>
        <v>91</v>
      </c>
      <c r="N19" s="2">
        <f t="shared" si="3"/>
        <v>91</v>
      </c>
      <c r="O19" s="2"/>
    </row>
    <row r="20" ht="14.25" customHeight="1">
      <c r="A20" s="2"/>
      <c r="B20" s="16">
        <f>SUM(B5:B16)</f>
        <v>360</v>
      </c>
      <c r="C20" s="16">
        <f>SUM(B5:B16)</f>
        <v>360</v>
      </c>
      <c r="D20" s="16">
        <f t="shared" ref="D20:O20" si="4">C20-(SUM($B$5:$B$16)/12)</f>
        <v>330</v>
      </c>
      <c r="E20" s="16">
        <f t="shared" si="4"/>
        <v>300</v>
      </c>
      <c r="F20" s="16">
        <f t="shared" si="4"/>
        <v>270</v>
      </c>
      <c r="G20" s="16">
        <f t="shared" si="4"/>
        <v>240</v>
      </c>
      <c r="H20" s="16">
        <f t="shared" si="4"/>
        <v>210</v>
      </c>
      <c r="I20" s="16">
        <f t="shared" si="4"/>
        <v>180</v>
      </c>
      <c r="J20" s="16">
        <f t="shared" si="4"/>
        <v>150</v>
      </c>
      <c r="K20" s="16">
        <f t="shared" si="4"/>
        <v>120</v>
      </c>
      <c r="L20" s="16">
        <f t="shared" si="4"/>
        <v>90</v>
      </c>
      <c r="M20" s="16">
        <f t="shared" si="4"/>
        <v>60</v>
      </c>
      <c r="N20" s="16">
        <f t="shared" si="4"/>
        <v>30</v>
      </c>
      <c r="O20" s="16">
        <f t="shared" si="4"/>
        <v>0</v>
      </c>
    </row>
    <row r="21" ht="14.25" customHeight="1">
      <c r="A21" s="17" t="s">
        <v>19</v>
      </c>
      <c r="B21" s="2">
        <f>B20</f>
        <v>360</v>
      </c>
      <c r="C21" s="2">
        <f t="shared" ref="C21:N21" si="5">D20</f>
        <v>330</v>
      </c>
      <c r="D21" s="2">
        <f t="shared" si="5"/>
        <v>300</v>
      </c>
      <c r="E21" s="2">
        <f t="shared" si="5"/>
        <v>270</v>
      </c>
      <c r="F21" s="2">
        <f t="shared" si="5"/>
        <v>240</v>
      </c>
      <c r="G21" s="2">
        <f t="shared" si="5"/>
        <v>210</v>
      </c>
      <c r="H21" s="2">
        <f t="shared" si="5"/>
        <v>180</v>
      </c>
      <c r="I21" s="2">
        <f t="shared" si="5"/>
        <v>150</v>
      </c>
      <c r="J21" s="2">
        <f t="shared" si="5"/>
        <v>120</v>
      </c>
      <c r="K21" s="2">
        <f t="shared" si="5"/>
        <v>90</v>
      </c>
      <c r="L21" s="2">
        <f t="shared" si="5"/>
        <v>60</v>
      </c>
      <c r="M21" s="2">
        <f t="shared" si="5"/>
        <v>30</v>
      </c>
      <c r="N21" s="2">
        <f t="shared" si="5"/>
        <v>0</v>
      </c>
      <c r="O21" s="2"/>
    </row>
    <row r="22" ht="14.25" customHeight="1">
      <c r="A22" s="2"/>
      <c r="B22" s="1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4.25" customHeight="1">
      <c r="A23" s="2"/>
      <c r="B23" s="18"/>
      <c r="C23" s="2"/>
      <c r="D23" s="2"/>
      <c r="E23" s="2"/>
      <c r="F23" s="2"/>
      <c r="G23" s="18"/>
      <c r="H23" s="2"/>
      <c r="I23" s="2"/>
      <c r="J23" s="2"/>
      <c r="K23" s="2"/>
      <c r="L23" s="2"/>
      <c r="M23" s="2"/>
      <c r="N23" s="2"/>
      <c r="O23" s="2"/>
    </row>
    <row r="24" ht="14.25" customHeight="1">
      <c r="A24" s="2"/>
      <c r="B24" s="18"/>
      <c r="C24" s="2"/>
      <c r="D24" s="2"/>
      <c r="E24" s="2"/>
      <c r="F24" s="2"/>
      <c r="G24" s="18"/>
      <c r="H24" s="2"/>
      <c r="I24" s="2"/>
      <c r="J24" s="2"/>
      <c r="K24" s="2"/>
      <c r="L24" s="2"/>
      <c r="M24" s="2"/>
      <c r="N24" s="2"/>
      <c r="O24" s="2"/>
    </row>
    <row r="25" ht="14.25" customHeight="1">
      <c r="A25" s="2"/>
      <c r="B25" s="18"/>
      <c r="C25" s="2"/>
      <c r="D25" s="2"/>
      <c r="E25" s="2"/>
      <c r="F25" s="2"/>
      <c r="G25" s="18"/>
      <c r="H25" s="2"/>
      <c r="I25" s="2"/>
    </row>
    <row r="26">
      <c r="A26" s="2"/>
      <c r="B26" s="18"/>
      <c r="C26" s="2"/>
      <c r="D26" s="2"/>
      <c r="E26" s="2"/>
      <c r="F26" s="2"/>
      <c r="G26" s="18"/>
      <c r="H26" s="2"/>
      <c r="I26" s="2"/>
    </row>
    <row r="27" ht="14.25" customHeight="1">
      <c r="A27" s="2"/>
      <c r="B27" s="18"/>
      <c r="C27" s="2"/>
      <c r="D27" s="2"/>
      <c r="E27" s="2"/>
      <c r="F27" s="2"/>
      <c r="G27" s="18"/>
      <c r="H27" s="2"/>
      <c r="I27" s="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4">
    <mergeCell ref="A3:A4"/>
    <mergeCell ref="B3:B4"/>
    <mergeCell ref="C3:N3"/>
    <mergeCell ref="O3:O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