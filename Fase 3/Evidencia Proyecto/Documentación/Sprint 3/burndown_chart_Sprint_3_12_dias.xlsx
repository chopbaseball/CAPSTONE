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TYDb7acxVjVcYTrWNPbYprAfgoh91bgD5xGPSdM46Qc="/>
    </ext>
  </extLst>
</workbook>
</file>

<file path=xl/sharedStrings.xml><?xml version="1.0" encoding="utf-8"?>
<sst xmlns="http://schemas.openxmlformats.org/spreadsheetml/2006/main" count="18" uniqueCount="18">
  <si>
    <t>Control del Sprint 3 de 12 días</t>
  </si>
  <si>
    <t>Modifique la zona con color verde</t>
  </si>
  <si>
    <t>burndown_chart_Sprint_12_dias</t>
  </si>
  <si>
    <t>horas estimadas</t>
  </si>
  <si>
    <t>DIA</t>
  </si>
  <si>
    <t>Total</t>
  </si>
  <si>
    <t>E1-H7</t>
  </si>
  <si>
    <t>E1-H9</t>
  </si>
  <si>
    <t>E1-H12</t>
  </si>
  <si>
    <t>E4-H30</t>
  </si>
  <si>
    <t>E4-H33</t>
  </si>
  <si>
    <t>E4-H35</t>
  </si>
  <si>
    <t>E4-H36</t>
  </si>
  <si>
    <t>E4-H41</t>
  </si>
  <si>
    <t>E5-H47</t>
  </si>
  <si>
    <t>E6-H53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</si>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</sst>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Ejemplo1!$D$16:$O$16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Ejemplo1!$D$18:$O$18</c:f>
              <c:numCache/>
            </c:numRef>
          </c:val>
          <c:smooth val="0"/>
        </c:ser>
        <c:axId val="1902011379"/>
        <c:axId val="1934998683"/>
      </c:lineChart>
      <c:catAx>
        <c:axId val="1902011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4998683"/>
      </c:catAx>
      <c:valAx>
        <c:axId val="1934998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20113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2314575" cy="35909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4" t="s">
        <v>3</v>
      </c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4" t="s">
        <v>5</v>
      </c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9">
        <v>11.0</v>
      </c>
      <c r="N4" s="9">
        <v>12.0</v>
      </c>
      <c r="O4" s="10"/>
    </row>
    <row r="5" ht="14.25" customHeight="1">
      <c r="A5" s="11" t="s">
        <v>6</v>
      </c>
      <c r="B5" s="12">
        <v>42.0</v>
      </c>
      <c r="C5" s="11">
        <v>11.0</v>
      </c>
      <c r="D5" s="11">
        <v>12.0</v>
      </c>
      <c r="E5" s="11">
        <v>5.0</v>
      </c>
      <c r="F5" s="11">
        <v>4.0</v>
      </c>
      <c r="G5" s="11">
        <v>0.0</v>
      </c>
      <c r="H5" s="11">
        <v>3.0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3">
        <f t="shared" ref="O5:O14" si="1">SUM(C5:N5)</f>
        <v>35</v>
      </c>
    </row>
    <row r="6" ht="14.25" customHeight="1">
      <c r="A6" s="11" t="s">
        <v>7</v>
      </c>
      <c r="B6" s="12">
        <v>42.0</v>
      </c>
      <c r="C6" s="11">
        <v>0.0</v>
      </c>
      <c r="D6" s="11">
        <v>0.0</v>
      </c>
      <c r="E6" s="11">
        <v>11.0</v>
      </c>
      <c r="F6" s="11">
        <v>13.0</v>
      </c>
      <c r="G6" s="11">
        <v>4.0</v>
      </c>
      <c r="H6" s="11">
        <v>2.0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4">
        <f t="shared" si="1"/>
        <v>30</v>
      </c>
    </row>
    <row r="7" ht="14.25" customHeight="1">
      <c r="A7" s="11" t="s">
        <v>8</v>
      </c>
      <c r="B7" s="12">
        <v>24.0</v>
      </c>
      <c r="C7" s="11">
        <v>9.0</v>
      </c>
      <c r="D7" s="11">
        <v>6.0</v>
      </c>
      <c r="E7" s="11">
        <v>3.0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4">
        <f t="shared" si="1"/>
        <v>18</v>
      </c>
    </row>
    <row r="8" ht="14.25" customHeight="1">
      <c r="A8" s="11" t="s">
        <v>9</v>
      </c>
      <c r="B8" s="12">
        <v>24.0</v>
      </c>
      <c r="C8" s="11">
        <v>4.0</v>
      </c>
      <c r="D8" s="11">
        <v>17.0</v>
      </c>
      <c r="E8" s="11">
        <v>5.0</v>
      </c>
      <c r="F8" s="11">
        <v>0.0</v>
      </c>
      <c r="G8" s="11">
        <v>0.0</v>
      </c>
      <c r="H8" s="11">
        <v>3.0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4">
        <f t="shared" si="1"/>
        <v>29</v>
      </c>
    </row>
    <row r="9" ht="14.25" customHeight="1">
      <c r="A9" s="11" t="s">
        <v>10</v>
      </c>
      <c r="B9" s="12">
        <v>28.0</v>
      </c>
      <c r="C9" s="11">
        <v>0.0</v>
      </c>
      <c r="D9" s="11">
        <v>0.0</v>
      </c>
      <c r="E9" s="11">
        <v>0.0</v>
      </c>
      <c r="F9" s="11">
        <v>6.0</v>
      </c>
      <c r="G9" s="11">
        <v>7.0</v>
      </c>
      <c r="H9" s="11">
        <v>4.0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4">
        <f t="shared" si="1"/>
        <v>17</v>
      </c>
    </row>
    <row r="10" ht="14.25" customHeight="1">
      <c r="A10" s="11" t="s">
        <v>11</v>
      </c>
      <c r="B10" s="12">
        <v>26.0</v>
      </c>
      <c r="C10" s="11">
        <v>0.0</v>
      </c>
      <c r="D10" s="11">
        <v>0.0</v>
      </c>
      <c r="E10" s="11">
        <v>8.0</v>
      </c>
      <c r="F10" s="11">
        <v>9.0</v>
      </c>
      <c r="G10" s="11">
        <v>4.0</v>
      </c>
      <c r="H10" s="11">
        <v>4.0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4">
        <f t="shared" si="1"/>
        <v>25</v>
      </c>
    </row>
    <row r="11" ht="14.25" customHeight="1">
      <c r="A11" s="11" t="s">
        <v>12</v>
      </c>
      <c r="B11" s="12">
        <v>24.0</v>
      </c>
      <c r="C11" s="11">
        <v>0.0</v>
      </c>
      <c r="D11" s="11">
        <v>0.0</v>
      </c>
      <c r="E11" s="11">
        <v>0.0</v>
      </c>
      <c r="F11" s="11">
        <v>0.0</v>
      </c>
      <c r="G11" s="11">
        <v>7.0</v>
      </c>
      <c r="H11" s="11">
        <v>11.0</v>
      </c>
      <c r="I11" s="11">
        <v>5.0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4">
        <f t="shared" si="1"/>
        <v>23</v>
      </c>
    </row>
    <row r="12" ht="14.25" customHeight="1">
      <c r="A12" s="11" t="s">
        <v>13</v>
      </c>
      <c r="B12" s="12">
        <v>28.0</v>
      </c>
      <c r="C12" s="11">
        <v>0.0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  <c r="I12" s="11">
        <v>12.0</v>
      </c>
      <c r="J12" s="11">
        <v>4.0</v>
      </c>
      <c r="K12" s="11">
        <v>0.0</v>
      </c>
      <c r="L12" s="11">
        <v>0.0</v>
      </c>
      <c r="M12" s="11">
        <v>0.0</v>
      </c>
      <c r="N12" s="11">
        <v>0.0</v>
      </c>
      <c r="O12" s="14">
        <f t="shared" si="1"/>
        <v>16</v>
      </c>
    </row>
    <row r="13" ht="14.25" customHeight="1">
      <c r="A13" s="11" t="s">
        <v>14</v>
      </c>
      <c r="B13" s="12">
        <v>24.0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4.0</v>
      </c>
      <c r="K13" s="11">
        <v>11.0</v>
      </c>
      <c r="L13" s="11">
        <v>6.0</v>
      </c>
      <c r="M13" s="11">
        <v>3.0</v>
      </c>
      <c r="N13" s="11">
        <v>2.0</v>
      </c>
      <c r="O13" s="14">
        <f t="shared" si="1"/>
        <v>26</v>
      </c>
    </row>
    <row r="14" ht="14.25" customHeight="1">
      <c r="A14" s="11" t="s">
        <v>15</v>
      </c>
      <c r="B14" s="12">
        <v>28.0</v>
      </c>
      <c r="C14" s="11">
        <v>0.0</v>
      </c>
      <c r="D14" s="11">
        <v>0.0</v>
      </c>
      <c r="E14" s="11">
        <v>0.0</v>
      </c>
      <c r="F14" s="11">
        <v>0.0</v>
      </c>
      <c r="G14" s="11">
        <v>2.0</v>
      </c>
      <c r="H14" s="11">
        <v>3.0</v>
      </c>
      <c r="I14" s="11">
        <v>6.0</v>
      </c>
      <c r="J14" s="11">
        <v>5.0</v>
      </c>
      <c r="K14" s="11">
        <v>9.0</v>
      </c>
      <c r="L14" s="11">
        <v>5.0</v>
      </c>
      <c r="M14" s="11">
        <v>4.0</v>
      </c>
      <c r="N14" s="11">
        <v>2.0</v>
      </c>
      <c r="O14" s="14">
        <f t="shared" si="1"/>
        <v>36</v>
      </c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15">
        <f>SUM(B5:B14)</f>
        <v>290</v>
      </c>
      <c r="C16" s="15">
        <f>B16</f>
        <v>290</v>
      </c>
      <c r="D16" s="15">
        <f t="shared" ref="D16:O16" si="2">C16-SUM(C5:C14)</f>
        <v>266</v>
      </c>
      <c r="E16" s="15">
        <f t="shared" si="2"/>
        <v>231</v>
      </c>
      <c r="F16" s="15">
        <f t="shared" si="2"/>
        <v>199</v>
      </c>
      <c r="G16" s="15">
        <f t="shared" si="2"/>
        <v>167</v>
      </c>
      <c r="H16" s="15">
        <f t="shared" si="2"/>
        <v>143</v>
      </c>
      <c r="I16" s="15">
        <f t="shared" si="2"/>
        <v>113</v>
      </c>
      <c r="J16" s="15">
        <f t="shared" si="2"/>
        <v>90</v>
      </c>
      <c r="K16" s="15">
        <f t="shared" si="2"/>
        <v>77</v>
      </c>
      <c r="L16" s="15">
        <f t="shared" si="2"/>
        <v>57</v>
      </c>
      <c r="M16" s="15">
        <f t="shared" si="2"/>
        <v>46</v>
      </c>
      <c r="N16" s="15">
        <f t="shared" si="2"/>
        <v>39</v>
      </c>
      <c r="O16" s="15">
        <f t="shared" si="2"/>
        <v>35</v>
      </c>
    </row>
    <row r="17" ht="14.25" customHeight="1">
      <c r="A17" s="16" t="s">
        <v>16</v>
      </c>
      <c r="B17" s="2">
        <f t="shared" ref="B17:N17" si="3">C16</f>
        <v>290</v>
      </c>
      <c r="C17" s="2">
        <f t="shared" si="3"/>
        <v>266</v>
      </c>
      <c r="D17" s="2">
        <f t="shared" si="3"/>
        <v>231</v>
      </c>
      <c r="E17" s="2">
        <f t="shared" si="3"/>
        <v>199</v>
      </c>
      <c r="F17" s="2">
        <f t="shared" si="3"/>
        <v>167</v>
      </c>
      <c r="G17" s="2">
        <f t="shared" si="3"/>
        <v>143</v>
      </c>
      <c r="H17" s="2">
        <f t="shared" si="3"/>
        <v>113</v>
      </c>
      <c r="I17" s="2">
        <f t="shared" si="3"/>
        <v>90</v>
      </c>
      <c r="J17" s="2">
        <f t="shared" si="3"/>
        <v>77</v>
      </c>
      <c r="K17" s="2">
        <f t="shared" si="3"/>
        <v>57</v>
      </c>
      <c r="L17" s="2">
        <f t="shared" si="3"/>
        <v>46</v>
      </c>
      <c r="M17" s="2">
        <f t="shared" si="3"/>
        <v>39</v>
      </c>
      <c r="N17" s="2">
        <f t="shared" si="3"/>
        <v>35</v>
      </c>
      <c r="O17" s="2"/>
    </row>
    <row r="18" ht="14.25" customHeight="1">
      <c r="A18" s="2"/>
      <c r="B18" s="15">
        <f>SUM(B5:B14)</f>
        <v>290</v>
      </c>
      <c r="C18" s="15">
        <f>SUM(B5:B14)</f>
        <v>290</v>
      </c>
      <c r="D18" s="15">
        <f t="shared" ref="D18:N18" si="4">C18-(SUM($B$5:$B$14)/12)</f>
        <v>265.8333333</v>
      </c>
      <c r="E18" s="15">
        <f t="shared" si="4"/>
        <v>241.6666667</v>
      </c>
      <c r="F18" s="15">
        <f t="shared" si="4"/>
        <v>217.5</v>
      </c>
      <c r="G18" s="15">
        <f t="shared" si="4"/>
        <v>193.3333333</v>
      </c>
      <c r="H18" s="15">
        <f t="shared" si="4"/>
        <v>169.1666667</v>
      </c>
      <c r="I18" s="15">
        <f t="shared" si="4"/>
        <v>145</v>
      </c>
      <c r="J18" s="15">
        <f t="shared" si="4"/>
        <v>120.8333333</v>
      </c>
      <c r="K18" s="15">
        <f t="shared" si="4"/>
        <v>96.66666667</v>
      </c>
      <c r="L18" s="15">
        <f t="shared" si="4"/>
        <v>72.5</v>
      </c>
      <c r="M18" s="15">
        <f t="shared" si="4"/>
        <v>48.33333333</v>
      </c>
      <c r="N18" s="15">
        <f t="shared" si="4"/>
        <v>24.16666667</v>
      </c>
      <c r="O18" s="15">
        <f>N18-(SUM($B$5:$B$14)/12)</f>
        <v>0</v>
      </c>
    </row>
    <row r="19" ht="14.25" customHeight="1">
      <c r="A19" s="16" t="s">
        <v>17</v>
      </c>
      <c r="B19" s="2">
        <f>B18</f>
        <v>290</v>
      </c>
      <c r="C19" s="2">
        <f t="shared" ref="C19:N19" si="5">D18</f>
        <v>265.8333333</v>
      </c>
      <c r="D19" s="2">
        <f t="shared" si="5"/>
        <v>241.6666667</v>
      </c>
      <c r="E19" s="2">
        <f t="shared" si="5"/>
        <v>217.5</v>
      </c>
      <c r="F19" s="2">
        <f t="shared" si="5"/>
        <v>193.3333333</v>
      </c>
      <c r="G19" s="2">
        <f t="shared" si="5"/>
        <v>169.1666667</v>
      </c>
      <c r="H19" s="2">
        <f t="shared" si="5"/>
        <v>145</v>
      </c>
      <c r="I19" s="2">
        <f t="shared" si="5"/>
        <v>120.8333333</v>
      </c>
      <c r="J19" s="2">
        <f t="shared" si="5"/>
        <v>96.66666667</v>
      </c>
      <c r="K19" s="2">
        <f t="shared" si="5"/>
        <v>72.5</v>
      </c>
      <c r="L19" s="2">
        <f t="shared" si="5"/>
        <v>48.33333333</v>
      </c>
      <c r="M19" s="2">
        <f t="shared" si="5"/>
        <v>24.16666667</v>
      </c>
      <c r="N19" s="2">
        <f t="shared" si="5"/>
        <v>0</v>
      </c>
      <c r="O19" s="2"/>
    </row>
    <row r="20" ht="14.2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4.25" customHeight="1">
      <c r="A21" s="2"/>
      <c r="B21" s="17"/>
      <c r="C21" s="2"/>
      <c r="D21" s="2"/>
      <c r="E21" s="2"/>
      <c r="F21" s="2"/>
      <c r="G21" s="17"/>
      <c r="H21" s="2"/>
      <c r="I21" s="2"/>
      <c r="J21" s="2"/>
      <c r="K21" s="2"/>
      <c r="L21" s="2"/>
      <c r="M21" s="2"/>
      <c r="N21" s="2"/>
      <c r="O21" s="2"/>
    </row>
    <row r="22" ht="14.25" customHeight="1">
      <c r="A22" s="2"/>
      <c r="B22" s="17"/>
      <c r="C22" s="2"/>
      <c r="D22" s="2"/>
      <c r="E22" s="2"/>
      <c r="F22" s="2"/>
      <c r="G22" s="17"/>
      <c r="H22" s="2"/>
      <c r="I22" s="2"/>
      <c r="J22" s="2"/>
      <c r="K22" s="2"/>
      <c r="L22" s="2"/>
      <c r="M22" s="2"/>
      <c r="N22" s="2"/>
      <c r="O22" s="2"/>
    </row>
    <row r="23" ht="14.25" customHeight="1">
      <c r="A23" s="2"/>
      <c r="B23" s="17"/>
      <c r="C23" s="2"/>
      <c r="D23" s="2"/>
      <c r="E23" s="2"/>
      <c r="F23" s="2"/>
      <c r="G23" s="17"/>
      <c r="H23" s="2"/>
      <c r="I23" s="2"/>
    </row>
    <row r="24">
      <c r="A24" s="2"/>
      <c r="B24" s="18"/>
      <c r="C24" s="2"/>
      <c r="D24" s="2"/>
      <c r="E24" s="2"/>
      <c r="F24" s="2"/>
      <c r="G24" s="17"/>
      <c r="H24" s="2"/>
      <c r="I24" s="2"/>
    </row>
    <row r="25" ht="14.25" customHeight="1">
      <c r="A25" s="2"/>
      <c r="B25" s="17"/>
      <c r="C25" s="2"/>
      <c r="D25" s="2"/>
      <c r="E25" s="2"/>
      <c r="F25" s="2"/>
      <c r="G25" s="17"/>
      <c r="H25" s="2"/>
      <c r="I25" s="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mergeCells count="4">
    <mergeCell ref="A3:A4"/>
    <mergeCell ref="B3:B4"/>
    <mergeCell ref="C3:N3"/>
    <mergeCell ref="O3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